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milbe-my.sharepoint.com/personal/wouter_vanderzwalmen_mil_be/Documents/MAP/"/>
    </mc:Choice>
  </mc:AlternateContent>
  <xr:revisionPtr revIDLastSave="97" documentId="11_1C435DB71B1AB0FB23B51AE2E29F95ECE1ED90C9" xr6:coauthVersionLast="47" xr6:coauthVersionMax="47" xr10:uidLastSave="{79FE476D-7805-4D54-90E2-8BB6BCA99707}"/>
  <bookViews>
    <workbookView xWindow="2220" yWindow="600" windowWidth="17964" windowHeight="11592" xr2:uid="{00000000-000D-0000-FFFF-FFFF0000000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1" i="1" l="1"/>
  <c r="T39" i="1"/>
  <c r="S41" i="1"/>
  <c r="S39" i="1"/>
  <c r="R39" i="1"/>
  <c r="Q39" i="1"/>
</calcChain>
</file>

<file path=xl/sharedStrings.xml><?xml version="1.0" encoding="utf-8"?>
<sst xmlns="http://schemas.openxmlformats.org/spreadsheetml/2006/main" count="47" uniqueCount="40">
  <si>
    <t>TESTING</t>
  </si>
  <si>
    <t># trial</t>
  </si>
  <si>
    <t>Power</t>
  </si>
  <si>
    <t>Measured</t>
  </si>
  <si>
    <t>Estimated</t>
  </si>
  <si>
    <t>PWR</t>
  </si>
  <si>
    <t>Rotations</t>
  </si>
  <si>
    <t>Trial</t>
  </si>
  <si>
    <t>Left rotation_count</t>
  </si>
  <si>
    <t>Right rotation_count</t>
  </si>
  <si>
    <t>Average rotation</t>
  </si>
  <si>
    <t>Calculated distance (mm)</t>
  </si>
  <si>
    <t>Measured distance (mm)</t>
  </si>
  <si>
    <t>Error (Measured − Calculated) (mm)</t>
  </si>
  <si>
    <t>Correction factor</t>
  </si>
  <si>
    <t>2394.0</t>
  </si>
  <si>
    <t>1002.79</t>
  </si>
  <si>
    <t>17.21</t>
  </si>
  <si>
    <t>2386.0</t>
  </si>
  <si>
    <t>999.44</t>
  </si>
  <si>
    <t>24.56</t>
  </si>
  <si>
    <t>2400.0</t>
  </si>
  <si>
    <t>1005.31</t>
  </si>
  <si>
    <t>19.69</t>
  </si>
  <si>
    <t>2385.5</t>
  </si>
  <si>
    <t>999.23</t>
  </si>
  <si>
    <t>19.77</t>
  </si>
  <si>
    <t>2391.5</t>
  </si>
  <si>
    <t>1001.75</t>
  </si>
  <si>
    <t>27.25</t>
  </si>
  <si>
    <t>PILOT</t>
  </si>
  <si>
    <t>REAL test 1</t>
  </si>
  <si>
    <t>(forward motion test)</t>
  </si>
  <si>
    <t>Left # rotations</t>
  </si>
  <si>
    <t>Right # rotations</t>
  </si>
  <si>
    <t>Diameter</t>
  </si>
  <si>
    <t>48 mm</t>
  </si>
  <si>
    <t>avg</t>
  </si>
  <si>
    <t>Stdev</t>
  </si>
  <si>
    <t>=&gt; mean correction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</si>
</sst>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2" borderId="0" xfId="0" applyFill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U41"/>
  <sheetViews>
    <sheetView tabSelected="1" topLeftCell="F20" workbookViewId="0">
      <selection activeCell="S17" sqref="S17"/>
    </sheetView>
  </sheetViews>
  <sheetFormatPr defaultRowHeight="14.4" x14ac:dyDescent="0.3"/>
  <sheetData>
    <row r="2" spans="4:20" x14ac:dyDescent="0.3">
      <c r="D2" t="s">
        <v>5</v>
      </c>
      <c r="E2">
        <v>70</v>
      </c>
    </row>
    <row r="3" spans="4:20" x14ac:dyDescent="0.3">
      <c r="D3" t="s">
        <v>6</v>
      </c>
      <c r="G3" t="s">
        <v>0</v>
      </c>
    </row>
    <row r="5" spans="4:20" x14ac:dyDescent="0.3">
      <c r="D5" t="s">
        <v>1</v>
      </c>
      <c r="E5" t="s">
        <v>3</v>
      </c>
      <c r="F5" t="s">
        <v>4</v>
      </c>
    </row>
    <row r="6" spans="4:20" x14ac:dyDescent="0.3">
      <c r="D6">
        <v>1</v>
      </c>
      <c r="E6">
        <v>1020</v>
      </c>
      <c r="L6" t="s">
        <v>30</v>
      </c>
    </row>
    <row r="7" spans="4:20" x14ac:dyDescent="0.3">
      <c r="D7">
        <v>2</v>
      </c>
      <c r="E7">
        <v>1024</v>
      </c>
    </row>
    <row r="8" spans="4:20" ht="72" x14ac:dyDescent="0.3">
      <c r="D8">
        <v>3</v>
      </c>
      <c r="E8">
        <v>1025</v>
      </c>
      <c r="L8" s="1" t="s">
        <v>7</v>
      </c>
      <c r="M8" s="3" t="s">
        <v>2</v>
      </c>
      <c r="N8" s="3" t="s">
        <v>8</v>
      </c>
      <c r="O8" s="3" t="s">
        <v>9</v>
      </c>
      <c r="P8" s="3" t="s">
        <v>10</v>
      </c>
      <c r="Q8" s="3" t="s">
        <v>11</v>
      </c>
      <c r="R8" s="3" t="s">
        <v>12</v>
      </c>
      <c r="S8" s="3" t="s">
        <v>13</v>
      </c>
      <c r="T8" s="3" t="s">
        <v>14</v>
      </c>
    </row>
    <row r="9" spans="4:20" x14ac:dyDescent="0.3">
      <c r="D9">
        <v>4</v>
      </c>
      <c r="E9">
        <v>1019</v>
      </c>
      <c r="L9" s="4">
        <v>1</v>
      </c>
      <c r="M9" s="2">
        <v>70</v>
      </c>
      <c r="N9" s="2">
        <v>2394</v>
      </c>
      <c r="O9" s="2">
        <v>2394</v>
      </c>
      <c r="P9" s="2" t="s">
        <v>15</v>
      </c>
      <c r="Q9" s="2" t="s">
        <v>16</v>
      </c>
      <c r="R9" s="2">
        <v>1020</v>
      </c>
      <c r="S9" s="2" t="s">
        <v>17</v>
      </c>
      <c r="T9" s="5">
        <v>10172</v>
      </c>
    </row>
    <row r="10" spans="4:20" x14ac:dyDescent="0.3">
      <c r="D10">
        <v>5</v>
      </c>
      <c r="L10" s="4">
        <v>2</v>
      </c>
      <c r="M10" s="2">
        <v>70</v>
      </c>
      <c r="N10" s="2">
        <v>2386</v>
      </c>
      <c r="O10" s="2">
        <v>2386</v>
      </c>
      <c r="P10" s="2" t="s">
        <v>18</v>
      </c>
      <c r="Q10" s="2" t="s">
        <v>19</v>
      </c>
      <c r="R10" s="2">
        <v>1024</v>
      </c>
      <c r="S10" s="2" t="s">
        <v>20</v>
      </c>
      <c r="T10" s="5">
        <v>10246</v>
      </c>
    </row>
    <row r="11" spans="4:20" x14ac:dyDescent="0.3">
      <c r="D11">
        <v>6</v>
      </c>
      <c r="L11" s="4">
        <v>3</v>
      </c>
      <c r="M11" s="2">
        <v>70</v>
      </c>
      <c r="N11" s="2">
        <v>2399</v>
      </c>
      <c r="O11" s="2">
        <v>2401</v>
      </c>
      <c r="P11" s="2" t="s">
        <v>21</v>
      </c>
      <c r="Q11" s="2" t="s">
        <v>22</v>
      </c>
      <c r="R11" s="2">
        <v>1025</v>
      </c>
      <c r="S11" s="2" t="s">
        <v>23</v>
      </c>
      <c r="T11" s="5">
        <v>10196</v>
      </c>
    </row>
    <row r="12" spans="4:20" x14ac:dyDescent="0.3">
      <c r="D12">
        <v>7</v>
      </c>
      <c r="L12" s="4">
        <v>4</v>
      </c>
      <c r="M12" s="2">
        <v>70</v>
      </c>
      <c r="N12" s="2">
        <v>2385</v>
      </c>
      <c r="O12" s="2">
        <v>2386</v>
      </c>
      <c r="P12" s="2" t="s">
        <v>24</v>
      </c>
      <c r="Q12" s="2" t="s">
        <v>25</v>
      </c>
      <c r="R12" s="2">
        <v>1019</v>
      </c>
      <c r="S12" s="2" t="s">
        <v>26</v>
      </c>
      <c r="T12" s="5">
        <v>10198</v>
      </c>
    </row>
    <row r="13" spans="4:20" x14ac:dyDescent="0.3">
      <c r="D13">
        <v>8</v>
      </c>
      <c r="L13" s="4">
        <v>5</v>
      </c>
      <c r="M13" s="2">
        <v>70</v>
      </c>
      <c r="N13" s="2">
        <v>2392</v>
      </c>
      <c r="O13" s="2">
        <v>2391</v>
      </c>
      <c r="P13" s="2" t="s">
        <v>27</v>
      </c>
      <c r="Q13" s="2" t="s">
        <v>28</v>
      </c>
      <c r="R13" s="2">
        <v>1029</v>
      </c>
      <c r="S13" s="2" t="s">
        <v>29</v>
      </c>
      <c r="T13" s="5">
        <v>10272</v>
      </c>
    </row>
    <row r="14" spans="4:20" x14ac:dyDescent="0.3">
      <c r="D14">
        <v>9</v>
      </c>
    </row>
    <row r="15" spans="4:20" x14ac:dyDescent="0.3">
      <c r="D15">
        <v>10</v>
      </c>
      <c r="L15" t="s">
        <v>31</v>
      </c>
      <c r="N15" t="s">
        <v>32</v>
      </c>
      <c r="Q15" s="2" t="s">
        <v>35</v>
      </c>
    </row>
    <row r="16" spans="4:20" x14ac:dyDescent="0.3">
      <c r="D16">
        <v>11</v>
      </c>
      <c r="Q16" s="2" t="s">
        <v>36</v>
      </c>
    </row>
    <row r="17" spans="4:20" ht="72" x14ac:dyDescent="0.3">
      <c r="D17">
        <v>12</v>
      </c>
      <c r="L17" s="1" t="s">
        <v>7</v>
      </c>
      <c r="M17" s="1" t="s">
        <v>2</v>
      </c>
      <c r="N17" s="1" t="s">
        <v>33</v>
      </c>
      <c r="O17" s="1" t="s">
        <v>34</v>
      </c>
      <c r="P17" s="1" t="s">
        <v>10</v>
      </c>
      <c r="Q17" s="1" t="s">
        <v>11</v>
      </c>
      <c r="R17" s="1" t="s">
        <v>12</v>
      </c>
      <c r="S17" s="1" t="s">
        <v>13</v>
      </c>
      <c r="T17" s="1" t="s">
        <v>14</v>
      </c>
    </row>
    <row r="18" spans="4:20" x14ac:dyDescent="0.3">
      <c r="D18">
        <v>13</v>
      </c>
      <c r="L18" s="4">
        <v>1</v>
      </c>
      <c r="M18" s="4">
        <v>70</v>
      </c>
      <c r="N18" s="4">
        <v>2411</v>
      </c>
      <c r="O18" s="4">
        <v>2414</v>
      </c>
      <c r="P18" s="4">
        <v>2412.5</v>
      </c>
      <c r="Q18" s="4">
        <v>1010.54</v>
      </c>
      <c r="R18" s="4">
        <v>1042</v>
      </c>
      <c r="S18" s="4">
        <v>31.46</v>
      </c>
      <c r="T18">
        <v>1.0310999999999999</v>
      </c>
    </row>
    <row r="19" spans="4:20" x14ac:dyDescent="0.3">
      <c r="D19">
        <v>14</v>
      </c>
      <c r="L19" s="4">
        <v>2</v>
      </c>
      <c r="M19" s="4">
        <v>70</v>
      </c>
      <c r="N19" s="4">
        <v>2406</v>
      </c>
      <c r="O19" s="4">
        <v>2395</v>
      </c>
      <c r="P19" s="4">
        <v>2400.5</v>
      </c>
      <c r="Q19" s="4">
        <v>1005.52</v>
      </c>
      <c r="R19" s="4">
        <v>1031</v>
      </c>
      <c r="S19" s="4">
        <v>25.48</v>
      </c>
      <c r="T19">
        <v>1.0253000000000001</v>
      </c>
    </row>
    <row r="20" spans="4:20" x14ac:dyDescent="0.3">
      <c r="D20">
        <v>15</v>
      </c>
      <c r="L20" s="4">
        <v>3</v>
      </c>
      <c r="M20" s="4">
        <v>70</v>
      </c>
      <c r="N20" s="4">
        <v>2392</v>
      </c>
      <c r="O20" s="4">
        <v>2388</v>
      </c>
      <c r="P20" s="4">
        <v>2390</v>
      </c>
      <c r="Q20" s="4">
        <v>1001.12</v>
      </c>
      <c r="R20" s="4">
        <v>1023</v>
      </c>
      <c r="S20" s="4">
        <v>21.88</v>
      </c>
      <c r="T20">
        <v>1.0219</v>
      </c>
    </row>
    <row r="21" spans="4:20" x14ac:dyDescent="0.3">
      <c r="D21">
        <v>16</v>
      </c>
      <c r="L21" s="4">
        <v>4</v>
      </c>
      <c r="M21" s="4">
        <v>70</v>
      </c>
      <c r="N21" s="4">
        <v>2398</v>
      </c>
      <c r="O21" s="4">
        <v>2400</v>
      </c>
      <c r="P21" s="4">
        <v>2399</v>
      </c>
      <c r="Q21" s="4">
        <v>1004.89</v>
      </c>
      <c r="R21" s="4">
        <v>1032</v>
      </c>
      <c r="S21" s="4">
        <v>27.11</v>
      </c>
      <c r="T21">
        <v>1.0269999999999999</v>
      </c>
    </row>
    <row r="22" spans="4:20" x14ac:dyDescent="0.3">
      <c r="D22">
        <v>17</v>
      </c>
      <c r="L22" s="4">
        <v>5</v>
      </c>
      <c r="M22" s="4">
        <v>70</v>
      </c>
      <c r="N22" s="4">
        <v>2405</v>
      </c>
      <c r="O22" s="4">
        <v>2408</v>
      </c>
      <c r="P22" s="4">
        <v>2406.5</v>
      </c>
      <c r="Q22" s="4">
        <v>1008.03</v>
      </c>
      <c r="R22" s="4">
        <v>1035</v>
      </c>
      <c r="S22" s="4">
        <v>26.97</v>
      </c>
      <c r="T22">
        <v>1.0267999999999999</v>
      </c>
    </row>
    <row r="23" spans="4:20" x14ac:dyDescent="0.3">
      <c r="D23">
        <v>18</v>
      </c>
      <c r="L23" s="4">
        <v>6</v>
      </c>
      <c r="M23" s="4">
        <v>70</v>
      </c>
      <c r="N23" s="4">
        <v>2410</v>
      </c>
      <c r="O23" s="4">
        <v>2413</v>
      </c>
      <c r="P23" s="4">
        <v>2411.5</v>
      </c>
      <c r="Q23" s="4">
        <v>1010.12</v>
      </c>
      <c r="R23" s="4">
        <v>1034</v>
      </c>
      <c r="S23" s="4">
        <v>23.88</v>
      </c>
      <c r="T23">
        <v>1.0236000000000001</v>
      </c>
    </row>
    <row r="24" spans="4:20" x14ac:dyDescent="0.3">
      <c r="D24">
        <v>19</v>
      </c>
      <c r="L24" s="4">
        <v>7</v>
      </c>
      <c r="M24" s="4">
        <v>70</v>
      </c>
      <c r="N24" s="4">
        <v>2394</v>
      </c>
      <c r="O24" s="4">
        <v>2392</v>
      </c>
      <c r="P24" s="4">
        <v>2393</v>
      </c>
      <c r="Q24" s="4">
        <v>1002.38</v>
      </c>
      <c r="R24" s="4">
        <v>1023</v>
      </c>
      <c r="S24" s="4">
        <v>20.62</v>
      </c>
      <c r="T24">
        <v>1.0206</v>
      </c>
    </row>
    <row r="25" spans="4:20" x14ac:dyDescent="0.3">
      <c r="D25">
        <v>20</v>
      </c>
      <c r="L25" s="4">
        <v>8</v>
      </c>
      <c r="M25" s="4">
        <v>70</v>
      </c>
      <c r="N25" s="4">
        <v>2386</v>
      </c>
      <c r="O25" s="4">
        <v>2385</v>
      </c>
      <c r="P25" s="4">
        <v>2385.5</v>
      </c>
      <c r="Q25" s="4">
        <v>999.23</v>
      </c>
      <c r="R25" s="4">
        <v>1026</v>
      </c>
      <c r="S25" s="4">
        <v>26.77</v>
      </c>
      <c r="T25">
        <v>1.0267999999999999</v>
      </c>
    </row>
    <row r="26" spans="4:20" x14ac:dyDescent="0.3">
      <c r="L26" s="4">
        <v>9</v>
      </c>
      <c r="M26" s="4">
        <v>70</v>
      </c>
      <c r="N26" s="4">
        <v>2410</v>
      </c>
      <c r="O26" s="4">
        <v>2414</v>
      </c>
      <c r="P26" s="4">
        <v>2412</v>
      </c>
      <c r="Q26" s="4">
        <v>1010.33</v>
      </c>
      <c r="R26" s="4">
        <v>1035</v>
      </c>
      <c r="S26" s="4">
        <v>24.67</v>
      </c>
      <c r="T26">
        <v>1.0244</v>
      </c>
    </row>
    <row r="27" spans="4:20" x14ac:dyDescent="0.3">
      <c r="L27" s="4">
        <v>10</v>
      </c>
      <c r="M27" s="4">
        <v>70</v>
      </c>
      <c r="N27" s="4">
        <v>2413</v>
      </c>
      <c r="O27" s="4">
        <v>2415</v>
      </c>
      <c r="P27" s="4">
        <v>2414</v>
      </c>
      <c r="Q27" s="4">
        <v>1011.17</v>
      </c>
      <c r="R27" s="4">
        <v>1037</v>
      </c>
      <c r="S27" s="4">
        <v>25.83</v>
      </c>
      <c r="T27">
        <v>1.0255000000000001</v>
      </c>
    </row>
    <row r="28" spans="4:20" x14ac:dyDescent="0.3">
      <c r="L28" s="4">
        <v>11</v>
      </c>
      <c r="M28" s="4">
        <v>70</v>
      </c>
      <c r="N28" s="4">
        <v>2394</v>
      </c>
      <c r="O28" s="4">
        <v>2398</v>
      </c>
      <c r="P28" s="4">
        <v>2396</v>
      </c>
      <c r="Q28" s="4">
        <v>1003.63</v>
      </c>
      <c r="R28" s="4">
        <v>1030</v>
      </c>
      <c r="S28" s="4">
        <v>26.37</v>
      </c>
      <c r="T28">
        <v>1.0263</v>
      </c>
    </row>
    <row r="29" spans="4:20" x14ac:dyDescent="0.3">
      <c r="L29" s="4">
        <v>12</v>
      </c>
      <c r="M29" s="4">
        <v>70</v>
      </c>
      <c r="N29" s="4">
        <v>2398</v>
      </c>
      <c r="O29" s="4">
        <v>2397</v>
      </c>
      <c r="P29" s="4">
        <v>2397.5</v>
      </c>
      <c r="Q29" s="4">
        <v>1004.26</v>
      </c>
      <c r="R29" s="4">
        <v>1027</v>
      </c>
      <c r="S29" s="4">
        <v>22.74</v>
      </c>
      <c r="T29">
        <v>1.0226</v>
      </c>
    </row>
    <row r="30" spans="4:20" x14ac:dyDescent="0.3">
      <c r="L30" s="4">
        <v>13</v>
      </c>
      <c r="M30" s="4">
        <v>70</v>
      </c>
      <c r="N30" s="4">
        <v>2412</v>
      </c>
      <c r="O30" s="4">
        <v>2411</v>
      </c>
      <c r="P30" s="4">
        <v>2411.5</v>
      </c>
      <c r="Q30" s="4">
        <v>1010.12</v>
      </c>
      <c r="R30" s="4">
        <v>1036</v>
      </c>
      <c r="S30" s="4">
        <v>25.88</v>
      </c>
      <c r="T30">
        <v>1.0256000000000001</v>
      </c>
    </row>
    <row r="31" spans="4:20" x14ac:dyDescent="0.3">
      <c r="L31" s="4">
        <v>14</v>
      </c>
      <c r="M31" s="4">
        <v>70</v>
      </c>
      <c r="N31" s="4">
        <v>2412</v>
      </c>
      <c r="O31" s="4">
        <v>2411</v>
      </c>
      <c r="P31" s="4">
        <v>2411.5</v>
      </c>
      <c r="Q31" s="4">
        <v>1010.12</v>
      </c>
      <c r="R31" s="4">
        <v>1041</v>
      </c>
      <c r="S31" s="4">
        <v>30.88</v>
      </c>
      <c r="T31">
        <v>1.0306</v>
      </c>
    </row>
    <row r="32" spans="4:20" x14ac:dyDescent="0.3">
      <c r="L32" s="4">
        <v>15</v>
      </c>
      <c r="M32" s="4">
        <v>70</v>
      </c>
      <c r="N32" s="4">
        <v>2398</v>
      </c>
      <c r="O32" s="4">
        <v>2401</v>
      </c>
      <c r="P32" s="4">
        <v>2399.5</v>
      </c>
      <c r="Q32" s="4">
        <v>1005.1</v>
      </c>
      <c r="R32" s="4">
        <v>1033</v>
      </c>
      <c r="S32" s="4">
        <v>27.9</v>
      </c>
      <c r="T32">
        <v>1.0278</v>
      </c>
    </row>
    <row r="33" spans="12:21" x14ac:dyDescent="0.3">
      <c r="L33" s="4">
        <v>16</v>
      </c>
      <c r="M33" s="4">
        <v>70</v>
      </c>
      <c r="N33" s="4">
        <v>2396</v>
      </c>
      <c r="O33" s="4">
        <v>2395</v>
      </c>
      <c r="P33" s="4">
        <v>2395.5</v>
      </c>
      <c r="Q33" s="4">
        <v>1003.42</v>
      </c>
      <c r="R33" s="4">
        <v>1033</v>
      </c>
      <c r="S33" s="4">
        <v>29.58</v>
      </c>
      <c r="T33">
        <v>1.0295000000000001</v>
      </c>
    </row>
    <row r="34" spans="12:21" x14ac:dyDescent="0.3">
      <c r="L34" s="4">
        <v>17</v>
      </c>
      <c r="M34" s="4">
        <v>70</v>
      </c>
      <c r="N34" s="4">
        <v>2389</v>
      </c>
      <c r="O34" s="4">
        <v>2389</v>
      </c>
      <c r="P34" s="4">
        <v>2389</v>
      </c>
      <c r="Q34" s="4">
        <v>1000.7</v>
      </c>
      <c r="R34" s="4">
        <v>1027</v>
      </c>
      <c r="S34" s="4">
        <v>26.3</v>
      </c>
      <c r="T34">
        <v>1.0263</v>
      </c>
    </row>
    <row r="35" spans="12:21" x14ac:dyDescent="0.3">
      <c r="L35" s="4">
        <v>18</v>
      </c>
      <c r="M35" s="4">
        <v>70</v>
      </c>
      <c r="N35" s="4">
        <v>2392</v>
      </c>
      <c r="O35" s="4">
        <v>2393</v>
      </c>
      <c r="P35" s="4">
        <v>2392.5</v>
      </c>
      <c r="Q35" s="4">
        <v>1002.17</v>
      </c>
      <c r="R35" s="4">
        <v>1027</v>
      </c>
      <c r="S35" s="4">
        <v>24.83</v>
      </c>
      <c r="T35">
        <v>1.0247999999999999</v>
      </c>
    </row>
    <row r="36" spans="12:21" x14ac:dyDescent="0.3">
      <c r="L36" s="4">
        <v>19</v>
      </c>
      <c r="M36" s="4">
        <v>70</v>
      </c>
      <c r="N36" s="4">
        <v>2388</v>
      </c>
      <c r="O36" s="4">
        <v>2389</v>
      </c>
      <c r="P36" s="4">
        <v>2388.5</v>
      </c>
      <c r="Q36" s="4">
        <v>1000.49</v>
      </c>
      <c r="R36" s="4">
        <v>1021</v>
      </c>
      <c r="S36" s="4">
        <v>20.51</v>
      </c>
      <c r="T36">
        <v>1.0205</v>
      </c>
    </row>
    <row r="37" spans="12:21" x14ac:dyDescent="0.3">
      <c r="L37" s="4">
        <v>20</v>
      </c>
      <c r="M37" s="4">
        <v>70</v>
      </c>
      <c r="N37" s="4">
        <v>2409</v>
      </c>
      <c r="O37" s="4">
        <v>2409</v>
      </c>
      <c r="P37" s="4">
        <v>2409</v>
      </c>
      <c r="Q37" s="4">
        <v>1009.08</v>
      </c>
      <c r="R37" s="4">
        <v>1033</v>
      </c>
      <c r="S37" s="4">
        <v>23.92</v>
      </c>
      <c r="T37">
        <v>1.0237000000000001</v>
      </c>
    </row>
    <row r="39" spans="12:21" x14ac:dyDescent="0.3">
      <c r="L39" t="s">
        <v>37</v>
      </c>
      <c r="Q39">
        <f>AVERAGE(Q18:Q37)</f>
        <v>1005.6210000000001</v>
      </c>
      <c r="R39">
        <f>AVERAGE(R18:R37)</f>
        <v>1031.3</v>
      </c>
      <c r="S39">
        <f>AVERAGE(S18:S37)</f>
        <v>25.678999999999995</v>
      </c>
      <c r="T39" s="6">
        <f>AVERAGE(T18:T37)</f>
        <v>1.0255349999999999</v>
      </c>
      <c r="U39" s="7" t="s">
        <v>39</v>
      </c>
    </row>
    <row r="41" spans="12:21" x14ac:dyDescent="0.3">
      <c r="R41" t="s">
        <v>38</v>
      </c>
      <c r="S41">
        <f>_xlfn.STDEV.S(S18:S37)</f>
        <v>2.9907152814564193</v>
      </c>
      <c r="T41">
        <f>_xlfn.STDEV.S(T18:T37)</f>
        <v>2.942658125250915E-3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Beheerder</dc:creator>
  <cp:lastModifiedBy>Vanderzwalmen Wouter</cp:lastModifiedBy>
  <dcterms:created xsi:type="dcterms:W3CDTF">2026-03-15T16:57:14Z</dcterms:created>
  <dcterms:modified xsi:type="dcterms:W3CDTF">2026-05-16T22:28:29Z</dcterms:modified>
</cp:coreProperties>
</file>