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heerder\Downloads\"/>
    </mc:Choice>
  </mc:AlternateContent>
  <bookViews>
    <workbookView xWindow="0" yWindow="0" windowWidth="23040" windowHeight="10452"/>
  </bookViews>
  <sheets>
    <sheet name="Forward validation" sheetId="1" r:id="rId1"/>
  </sheets>
  <calcPr calcId="162913"/>
</workbook>
</file>

<file path=xl/calcChain.xml><?xml version="1.0" encoding="utf-8"?>
<calcChain xmlns="http://schemas.openxmlformats.org/spreadsheetml/2006/main">
  <c r="G27" i="1" l="1"/>
  <c r="G23" i="1"/>
  <c r="G22" i="1"/>
  <c r="E18" i="1"/>
  <c r="D18" i="1"/>
  <c r="F18" i="1" s="1"/>
  <c r="G18" i="1" s="1"/>
  <c r="I18" i="1" s="1"/>
  <c r="F17" i="1"/>
  <c r="G17" i="1" s="1"/>
  <c r="I17" i="1" s="1"/>
  <c r="E17" i="1"/>
  <c r="D17" i="1"/>
  <c r="F16" i="1"/>
  <c r="G16" i="1" s="1"/>
  <c r="I16" i="1" s="1"/>
  <c r="E16" i="1"/>
  <c r="D16" i="1"/>
  <c r="E15" i="1"/>
  <c r="D15" i="1"/>
  <c r="F15" i="1" s="1"/>
  <c r="G15" i="1" s="1"/>
  <c r="I15" i="1" s="1"/>
  <c r="E14" i="1"/>
  <c r="F14" i="1" s="1"/>
  <c r="G14" i="1" s="1"/>
  <c r="I14" i="1" s="1"/>
  <c r="D14" i="1"/>
  <c r="E13" i="1"/>
  <c r="F13" i="1" s="1"/>
  <c r="G13" i="1" s="1"/>
  <c r="I13" i="1" s="1"/>
  <c r="D13" i="1"/>
  <c r="E12" i="1"/>
  <c r="D12" i="1"/>
  <c r="F12" i="1" s="1"/>
  <c r="G12" i="1" s="1"/>
  <c r="I12" i="1" s="1"/>
  <c r="E11" i="1"/>
  <c r="D11" i="1"/>
  <c r="F11" i="1" s="1"/>
  <c r="G11" i="1" s="1"/>
  <c r="I11" i="1" s="1"/>
  <c r="E10" i="1"/>
  <c r="D10" i="1"/>
  <c r="F10" i="1" s="1"/>
  <c r="G10" i="1" s="1"/>
  <c r="I10" i="1" s="1"/>
  <c r="F9" i="1"/>
  <c r="G9" i="1" s="1"/>
  <c r="I9" i="1" s="1"/>
  <c r="E9" i="1"/>
  <c r="D9" i="1"/>
  <c r="F8" i="1"/>
  <c r="G8" i="1" s="1"/>
  <c r="I8" i="1" s="1"/>
  <c r="E8" i="1"/>
  <c r="D8" i="1"/>
  <c r="E7" i="1"/>
  <c r="D7" i="1"/>
  <c r="F7" i="1" s="1"/>
  <c r="G7" i="1" s="1"/>
  <c r="I7" i="1" s="1"/>
  <c r="E6" i="1"/>
  <c r="F6" i="1" s="1"/>
  <c r="G6" i="1" s="1"/>
  <c r="I6" i="1" s="1"/>
  <c r="D6" i="1"/>
  <c r="E5" i="1"/>
  <c r="F5" i="1" s="1"/>
  <c r="G5" i="1" s="1"/>
  <c r="I5" i="1" s="1"/>
  <c r="D5" i="1"/>
  <c r="E4" i="1"/>
  <c r="D4" i="1"/>
  <c r="F4" i="1" s="1"/>
  <c r="G4" i="1" s="1"/>
  <c r="I4" i="1" s="1"/>
  <c r="G28" i="1" l="1"/>
  <c r="G31" i="1" s="1"/>
  <c r="G26" i="1"/>
  <c r="G25" i="1"/>
  <c r="G30" i="1" l="1"/>
  <c r="G33" i="1" l="1"/>
  <c r="G32" i="1"/>
</calcChain>
</file>

<file path=xl/sharedStrings.xml><?xml version="1.0" encoding="utf-8"?>
<sst xmlns="http://schemas.openxmlformats.org/spreadsheetml/2006/main" count="23" uniqueCount="23">
  <si>
    <t>Target distance (mm)</t>
  </si>
  <si>
    <t>Correction factor kd</t>
  </si>
  <si>
    <t>Trial</t>
  </si>
  <si>
    <t>Left encoder (°)</t>
  </si>
  <si>
    <t>Right encoder (°)</t>
  </si>
  <si>
    <t>Left distance (mm)</t>
  </si>
  <si>
    <t>Right distance (mm)</t>
  </si>
  <si>
    <t>Calculated distance (mm)</t>
  </si>
  <si>
    <t>Corrected distance (mm)</t>
  </si>
  <si>
    <t>Measured distance (mm)</t>
  </si>
  <si>
    <t>Absolute error |e_i| (mm)</t>
  </si>
  <si>
    <t>We want to prove that for alpha = 0.05 the error is smaller than:</t>
  </si>
  <si>
    <t>H0:</t>
  </si>
  <si>
    <t>What we want to prove:</t>
  </si>
  <si>
    <t>mean |e_i|</t>
  </si>
  <si>
    <t>stdev |e_i|</t>
  </si>
  <si>
    <t>e_i0 (threshold)</t>
  </si>
  <si>
    <t>n</t>
  </si>
  <si>
    <t>alpha</t>
  </si>
  <si>
    <t>tstat</t>
  </si>
  <si>
    <t>t_critical</t>
  </si>
  <si>
    <t>reject H0?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</si>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</sst>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I21" sqref="I21"/>
    </sheetView>
  </sheetViews>
  <sheetFormatPr defaultRowHeight="14.4" x14ac:dyDescent="0.3"/>
  <cols>
    <col min="1" max="1" width="8" customWidth="1"/>
    <col min="2" max="3" width="16" customWidth="1"/>
    <col min="4" max="5" width="18" customWidth="1"/>
    <col min="6" max="7" width="22" customWidth="1"/>
    <col min="8" max="9" width="20" customWidth="1"/>
  </cols>
  <sheetData>
    <row r="1" spans="1:9" x14ac:dyDescent="0.3">
      <c r="F1" s="1" t="s">
        <v>0</v>
      </c>
      <c r="G1">
        <v>1000</v>
      </c>
    </row>
    <row r="2" spans="1:9" x14ac:dyDescent="0.3">
      <c r="F2" s="1" t="s">
        <v>1</v>
      </c>
      <c r="G2">
        <v>1.0255000000000001</v>
      </c>
    </row>
    <row r="3" spans="1:9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3">
      <c r="A4" s="3">
        <v>1</v>
      </c>
      <c r="B4" s="3">
        <v>2438</v>
      </c>
      <c r="C4" s="3">
        <v>2435</v>
      </c>
      <c r="D4" s="3">
        <f t="shared" ref="D4:D18" si="0">(B4/360)*PI()*48</f>
        <v>1021.2270519269221</v>
      </c>
      <c r="E4" s="3">
        <f t="shared" ref="E4:E18" si="1">(C4/360)*PI()*48</f>
        <v>1019.9704148654862</v>
      </c>
      <c r="F4" s="3">
        <f t="shared" ref="F4:F18" si="2">(D4+E4)/2</f>
        <v>1020.5987333962041</v>
      </c>
      <c r="G4" s="3">
        <f t="shared" ref="G4:G18" si="3">F4*$G$2</f>
        <v>1046.6240010978074</v>
      </c>
      <c r="H4" s="3">
        <v>1036</v>
      </c>
      <c r="I4" s="3">
        <f t="shared" ref="I4:I18" si="4">ABS(G4-H4)</f>
        <v>10.624001097807422</v>
      </c>
    </row>
    <row r="5" spans="1:9" x14ac:dyDescent="0.3">
      <c r="A5" s="3">
        <v>2</v>
      </c>
      <c r="B5" s="3">
        <v>2427</v>
      </c>
      <c r="C5" s="3">
        <v>2440</v>
      </c>
      <c r="D5" s="3">
        <f t="shared" si="0"/>
        <v>1016.6193827016571</v>
      </c>
      <c r="E5" s="3">
        <f t="shared" si="1"/>
        <v>1022.0648099678795</v>
      </c>
      <c r="F5" s="3">
        <f t="shared" si="2"/>
        <v>1019.3420963347683</v>
      </c>
      <c r="G5" s="3">
        <f t="shared" si="3"/>
        <v>1045.335319791305</v>
      </c>
      <c r="H5" s="3">
        <v>1038</v>
      </c>
      <c r="I5" s="3">
        <f t="shared" si="4"/>
        <v>7.3353197913049826</v>
      </c>
    </row>
    <row r="6" spans="1:9" x14ac:dyDescent="0.3">
      <c r="A6" s="3">
        <v>3</v>
      </c>
      <c r="B6" s="3">
        <v>2430</v>
      </c>
      <c r="C6" s="3">
        <v>2414</v>
      </c>
      <c r="D6" s="3">
        <f t="shared" si="0"/>
        <v>1017.8760197630929</v>
      </c>
      <c r="E6" s="3">
        <f t="shared" si="1"/>
        <v>1011.1739554354348</v>
      </c>
      <c r="F6" s="3">
        <f t="shared" si="2"/>
        <v>1014.5249875992638</v>
      </c>
      <c r="G6" s="3">
        <f t="shared" si="3"/>
        <v>1040.3953747830451</v>
      </c>
      <c r="H6" s="3">
        <v>1029</v>
      </c>
      <c r="I6" s="3">
        <f t="shared" si="4"/>
        <v>11.395374783045099</v>
      </c>
    </row>
    <row r="7" spans="1:9" x14ac:dyDescent="0.3">
      <c r="A7" s="3">
        <v>4</v>
      </c>
      <c r="B7" s="3">
        <v>2423</v>
      </c>
      <c r="C7" s="3">
        <v>2426</v>
      </c>
      <c r="D7" s="3">
        <f t="shared" si="0"/>
        <v>1014.9438666197424</v>
      </c>
      <c r="E7" s="3">
        <f t="shared" si="1"/>
        <v>1016.2005036811785</v>
      </c>
      <c r="F7" s="3">
        <f t="shared" si="2"/>
        <v>1015.5721851504604</v>
      </c>
      <c r="G7" s="3">
        <f t="shared" si="3"/>
        <v>1041.4692758717972</v>
      </c>
      <c r="H7" s="3">
        <v>1030</v>
      </c>
      <c r="I7" s="3">
        <f t="shared" si="4"/>
        <v>11.469275871797208</v>
      </c>
    </row>
    <row r="8" spans="1:9" x14ac:dyDescent="0.3">
      <c r="A8" s="3">
        <v>5</v>
      </c>
      <c r="B8" s="3">
        <v>2435</v>
      </c>
      <c r="C8" s="3">
        <v>2431</v>
      </c>
      <c r="D8" s="3">
        <f t="shared" si="0"/>
        <v>1019.9704148654862</v>
      </c>
      <c r="E8" s="3">
        <f t="shared" si="1"/>
        <v>1018.2948987835716</v>
      </c>
      <c r="F8" s="3">
        <f t="shared" si="2"/>
        <v>1019.1326568245289</v>
      </c>
      <c r="G8" s="3">
        <f t="shared" si="3"/>
        <v>1045.1205395735544</v>
      </c>
      <c r="H8" s="3">
        <v>1030</v>
      </c>
      <c r="I8" s="3">
        <f t="shared" si="4"/>
        <v>15.120539573554424</v>
      </c>
    </row>
    <row r="9" spans="1:9" x14ac:dyDescent="0.3">
      <c r="A9" s="3">
        <v>6</v>
      </c>
      <c r="B9" s="3">
        <v>2414</v>
      </c>
      <c r="C9" s="3">
        <v>2410</v>
      </c>
      <c r="D9" s="3">
        <f t="shared" si="0"/>
        <v>1011.1739554354348</v>
      </c>
      <c r="E9" s="3">
        <f t="shared" si="1"/>
        <v>1009.4984393535201</v>
      </c>
      <c r="F9" s="3">
        <f t="shared" si="2"/>
        <v>1010.3361973944775</v>
      </c>
      <c r="G9" s="3">
        <f t="shared" si="3"/>
        <v>1036.0997704280367</v>
      </c>
      <c r="H9" s="3">
        <v>1025</v>
      </c>
      <c r="I9" s="3">
        <f t="shared" si="4"/>
        <v>11.099770428036663</v>
      </c>
    </row>
    <row r="10" spans="1:9" x14ac:dyDescent="0.3">
      <c r="A10" s="3">
        <v>7</v>
      </c>
      <c r="B10" s="3">
        <v>2427</v>
      </c>
      <c r="C10" s="3">
        <v>2420</v>
      </c>
      <c r="D10" s="3">
        <f t="shared" si="0"/>
        <v>1016.6193827016571</v>
      </c>
      <c r="E10" s="3">
        <f t="shared" si="1"/>
        <v>1013.6872295583066</v>
      </c>
      <c r="F10" s="3">
        <f t="shared" si="2"/>
        <v>1015.1533061299818</v>
      </c>
      <c r="G10" s="3">
        <f t="shared" si="3"/>
        <v>1041.0397154362965</v>
      </c>
      <c r="H10" s="3">
        <v>1030</v>
      </c>
      <c r="I10" s="3">
        <f t="shared" si="4"/>
        <v>11.039715436296547</v>
      </c>
    </row>
    <row r="11" spans="1:9" x14ac:dyDescent="0.3">
      <c r="A11" s="3">
        <v>8</v>
      </c>
      <c r="B11" s="3">
        <v>2429</v>
      </c>
      <c r="C11" s="3">
        <v>2430</v>
      </c>
      <c r="D11" s="3">
        <f t="shared" si="0"/>
        <v>1017.4571407426142</v>
      </c>
      <c r="E11" s="3">
        <f t="shared" si="1"/>
        <v>1017.8760197630929</v>
      </c>
      <c r="F11" s="3">
        <f t="shared" si="2"/>
        <v>1017.6665802528536</v>
      </c>
      <c r="G11" s="3">
        <f t="shared" si="3"/>
        <v>1043.6170780493014</v>
      </c>
      <c r="H11" s="3">
        <v>1032</v>
      </c>
      <c r="I11" s="3">
        <f t="shared" si="4"/>
        <v>11.617078049301426</v>
      </c>
    </row>
    <row r="12" spans="1:9" x14ac:dyDescent="0.3">
      <c r="A12" s="3">
        <v>9</v>
      </c>
      <c r="B12" s="3">
        <v>2417</v>
      </c>
      <c r="C12" s="3">
        <v>2413</v>
      </c>
      <c r="D12" s="3">
        <f t="shared" si="0"/>
        <v>1012.4305924968705</v>
      </c>
      <c r="E12" s="3">
        <f t="shared" si="1"/>
        <v>1010.7550764149561</v>
      </c>
      <c r="F12" s="3">
        <f t="shared" si="2"/>
        <v>1011.5928344559134</v>
      </c>
      <c r="G12" s="3">
        <f t="shared" si="3"/>
        <v>1037.3884517345393</v>
      </c>
      <c r="H12" s="3">
        <v>1026</v>
      </c>
      <c r="I12" s="3">
        <f t="shared" si="4"/>
        <v>11.388451734539331</v>
      </c>
    </row>
    <row r="13" spans="1:9" x14ac:dyDescent="0.3">
      <c r="A13" s="3">
        <v>10</v>
      </c>
      <c r="B13" s="3">
        <v>2430</v>
      </c>
      <c r="C13" s="3">
        <v>2428</v>
      </c>
      <c r="D13" s="3">
        <f t="shared" si="0"/>
        <v>1017.8760197630929</v>
      </c>
      <c r="E13" s="3">
        <f t="shared" si="1"/>
        <v>1017.0382617221358</v>
      </c>
      <c r="F13" s="3">
        <f t="shared" si="2"/>
        <v>1017.4571407426143</v>
      </c>
      <c r="G13" s="3">
        <f t="shared" si="3"/>
        <v>1043.4022978315511</v>
      </c>
      <c r="H13" s="3">
        <v>1031</v>
      </c>
      <c r="I13" s="3">
        <f t="shared" si="4"/>
        <v>12.402297831551095</v>
      </c>
    </row>
    <row r="14" spans="1:9" x14ac:dyDescent="0.3">
      <c r="A14" s="3">
        <v>11</v>
      </c>
      <c r="B14" s="3">
        <v>2432</v>
      </c>
      <c r="C14" s="3">
        <v>2433</v>
      </c>
      <c r="D14" s="3">
        <f t="shared" si="0"/>
        <v>1018.7137778040503</v>
      </c>
      <c r="E14" s="3">
        <f t="shared" si="1"/>
        <v>1019.132656824529</v>
      </c>
      <c r="F14" s="3">
        <f t="shared" si="2"/>
        <v>1018.9232173142897</v>
      </c>
      <c r="G14" s="3">
        <f t="shared" si="3"/>
        <v>1044.9057593558041</v>
      </c>
      <c r="H14" s="3">
        <v>1033</v>
      </c>
      <c r="I14" s="3">
        <f t="shared" si="4"/>
        <v>11.905759355804094</v>
      </c>
    </row>
    <row r="15" spans="1:9" x14ac:dyDescent="0.3">
      <c r="A15" s="3">
        <v>12</v>
      </c>
      <c r="B15" s="3">
        <v>2409</v>
      </c>
      <c r="C15" s="3">
        <v>2407</v>
      </c>
      <c r="D15" s="3">
        <f t="shared" si="0"/>
        <v>1009.0795603330414</v>
      </c>
      <c r="E15" s="3">
        <f t="shared" si="1"/>
        <v>1008.2418022920842</v>
      </c>
      <c r="F15" s="3">
        <f t="shared" si="2"/>
        <v>1008.6606813125628</v>
      </c>
      <c r="G15" s="3">
        <f t="shared" si="3"/>
        <v>1034.3815286860333</v>
      </c>
      <c r="H15" s="3">
        <v>1023</v>
      </c>
      <c r="I15" s="3">
        <f t="shared" si="4"/>
        <v>11.381528686033334</v>
      </c>
    </row>
    <row r="16" spans="1:9" x14ac:dyDescent="0.3">
      <c r="A16" s="3">
        <v>13</v>
      </c>
      <c r="B16" s="3">
        <v>2422</v>
      </c>
      <c r="C16" s="3">
        <v>2417</v>
      </c>
      <c r="D16" s="3">
        <f t="shared" si="0"/>
        <v>1014.5249875992638</v>
      </c>
      <c r="E16" s="3">
        <f t="shared" si="1"/>
        <v>1012.4305924968705</v>
      </c>
      <c r="F16" s="3">
        <f t="shared" si="2"/>
        <v>1013.4777900480672</v>
      </c>
      <c r="G16" s="3">
        <f t="shared" si="3"/>
        <v>1039.321473694293</v>
      </c>
      <c r="H16" s="3">
        <v>1027</v>
      </c>
      <c r="I16" s="3">
        <f t="shared" si="4"/>
        <v>12.32147369429299</v>
      </c>
    </row>
    <row r="17" spans="1:9" x14ac:dyDescent="0.3">
      <c r="A17" s="3">
        <v>14</v>
      </c>
      <c r="B17" s="3">
        <v>2437</v>
      </c>
      <c r="C17" s="3">
        <v>2434</v>
      </c>
      <c r="D17" s="3">
        <f t="shared" si="0"/>
        <v>1020.8081729064435</v>
      </c>
      <c r="E17" s="3">
        <f t="shared" si="1"/>
        <v>1019.5515358450075</v>
      </c>
      <c r="F17" s="3">
        <f t="shared" si="2"/>
        <v>1020.1798543757254</v>
      </c>
      <c r="G17" s="3">
        <f t="shared" si="3"/>
        <v>1046.1944406623065</v>
      </c>
      <c r="H17" s="3">
        <v>1035</v>
      </c>
      <c r="I17" s="3">
        <f t="shared" si="4"/>
        <v>11.194440662306533</v>
      </c>
    </row>
    <row r="18" spans="1:9" x14ac:dyDescent="0.3">
      <c r="A18" s="3">
        <v>15</v>
      </c>
      <c r="B18" s="3">
        <v>2432</v>
      </c>
      <c r="C18" s="3">
        <v>2431</v>
      </c>
      <c r="D18" s="3">
        <f t="shared" si="0"/>
        <v>1018.7137778040503</v>
      </c>
      <c r="E18" s="3">
        <f t="shared" si="1"/>
        <v>1018.2948987835716</v>
      </c>
      <c r="F18" s="3">
        <f t="shared" si="2"/>
        <v>1018.504338293811</v>
      </c>
      <c r="G18" s="3">
        <f t="shared" si="3"/>
        <v>1044.4761989203032</v>
      </c>
      <c r="H18" s="3">
        <v>1033</v>
      </c>
      <c r="I18" s="3">
        <f t="shared" si="4"/>
        <v>11.476198920303204</v>
      </c>
    </row>
    <row r="20" spans="1:9" x14ac:dyDescent="0.3">
      <c r="E20" s="1" t="s">
        <v>11</v>
      </c>
      <c r="I20" s="1">
        <v>13</v>
      </c>
    </row>
    <row r="22" spans="1:9" x14ac:dyDescent="0.3">
      <c r="F22" s="1" t="s">
        <v>12</v>
      </c>
      <c r="G22" t="str">
        <f>CONCATENATE("mean |e_i| &gt;= ",I20," mm")</f>
        <v>mean |e_i| &gt;= 13 mm</v>
      </c>
    </row>
    <row r="23" spans="1:9" x14ac:dyDescent="0.3">
      <c r="F23" s="1" t="s">
        <v>13</v>
      </c>
      <c r="G23" t="str">
        <f>CONCATENATE("Ha: mean |e_i| &lt; ",I20," mm")</f>
        <v>Ha: mean |e_i| &lt; 13 mm</v>
      </c>
    </row>
    <row r="25" spans="1:9" x14ac:dyDescent="0.3">
      <c r="F25" s="1" t="s">
        <v>14</v>
      </c>
      <c r="G25">
        <f>AVERAGE(I4:I18)</f>
        <v>11.451415061064957</v>
      </c>
    </row>
    <row r="26" spans="1:9" x14ac:dyDescent="0.3">
      <c r="F26" s="1" t="s">
        <v>15</v>
      </c>
      <c r="G26">
        <f>_xlfn.STDEV.S(I4:I18)</f>
        <v>1.5435693902277081</v>
      </c>
    </row>
    <row r="27" spans="1:9" x14ac:dyDescent="0.3">
      <c r="F27" s="1" t="s">
        <v>16</v>
      </c>
      <c r="G27">
        <f>I20</f>
        <v>13</v>
      </c>
    </row>
    <row r="28" spans="1:9" x14ac:dyDescent="0.3">
      <c r="F28" s="1" t="s">
        <v>17</v>
      </c>
      <c r="G28">
        <f>COUNT(I4:I18)</f>
        <v>15</v>
      </c>
    </row>
    <row r="29" spans="1:9" x14ac:dyDescent="0.3">
      <c r="F29" s="1" t="s">
        <v>18</v>
      </c>
      <c r="G29">
        <v>0.05</v>
      </c>
    </row>
    <row r="30" spans="1:9" x14ac:dyDescent="0.3">
      <c r="F30" s="1" t="s">
        <v>19</v>
      </c>
      <c r="G30">
        <f>(G25-G27)/(G26/SQRT(G28))</f>
        <v>-3.8855679029747265</v>
      </c>
    </row>
    <row r="31" spans="1:9" x14ac:dyDescent="0.3">
      <c r="F31" s="1" t="s">
        <v>20</v>
      </c>
      <c r="G31">
        <f>_xlfn.T.INV(G29,G28-1)</f>
        <v>-1.7613101357748921</v>
      </c>
    </row>
    <row r="32" spans="1:9" x14ac:dyDescent="0.3">
      <c r="F32" s="1" t="s">
        <v>21</v>
      </c>
      <c r="G32" t="str">
        <f>IF(G30&lt;G31,"yes, Reject H0","no, H0 remains valid")</f>
        <v>yes, Reject H0</v>
      </c>
    </row>
    <row r="33" spans="6:7" x14ac:dyDescent="0.3">
      <c r="F33" s="1" t="s">
        <v>22</v>
      </c>
      <c r="G33">
        <f>_xlfn.T.DIST(G30,G28-1,TRUE())</f>
        <v>8.2395834153022962E-4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Forward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Beheerder</cp:lastModifiedBy>
  <dcterms:created xsi:type="dcterms:W3CDTF">2026-05-17T16:17:15Z</dcterms:created>
  <dcterms:modified xsi:type="dcterms:W3CDTF">2026-05-17T16:19:16Z</dcterms:modified>
</cp:coreProperties>
</file>