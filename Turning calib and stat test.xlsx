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lbe-my.sharepoint.com/personal/wouter_vanderzwalmen_mil_be/Documents/"/>
    </mc:Choice>
  </mc:AlternateContent>
  <xr:revisionPtr revIDLastSave="35" documentId="8_{878FCF3B-DF22-4B50-AF0E-FAB316AF0F51}" xr6:coauthVersionLast="47" xr6:coauthVersionMax="47" xr10:uidLastSave="{4E2CE9C6-DF6A-4DFC-BF37-16975C6E1634}"/>
  <bookViews>
    <workbookView xWindow="2088" yWindow="1644" windowWidth="17964" windowHeight="11592" firstSheet="2" activeTab="3" xr2:uid="{209C6F6E-9EC3-4E77-8A91-36BA458B03AC}"/>
  </bookViews>
  <sheets>
    <sheet name="Failed 20 Left (First calib)" sheetId="4" r:id="rId1"/>
    <sheet name="Turning calib 1.1 (Leff)" sheetId="3" r:id="rId2"/>
    <sheet name="t-test gecombineerd (combined)" sheetId="2" r:id="rId3"/>
    <sheet name="Ultrasonic sensor calibrati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5" l="1"/>
  <c r="E5" i="5"/>
  <c r="E6" i="5"/>
  <c r="E7" i="5"/>
  <c r="E8" i="5"/>
  <c r="E9" i="5"/>
  <c r="E4" i="5"/>
  <c r="G56" i="2"/>
  <c r="H18" i="3" l="1"/>
  <c r="F18" i="3"/>
  <c r="J23" i="3"/>
  <c r="K21" i="3"/>
  <c r="H21" i="3"/>
  <c r="K19" i="3"/>
  <c r="G50" i="2"/>
  <c r="J27" i="3"/>
  <c r="G27" i="3"/>
  <c r="H27" i="3" s="1"/>
  <c r="K27" i="3" s="1"/>
  <c r="F27" i="3"/>
  <c r="J26" i="3"/>
  <c r="G26" i="3"/>
  <c r="F26" i="3"/>
  <c r="H26" i="3" s="1"/>
  <c r="K26" i="3" s="1"/>
  <c r="J25" i="3"/>
  <c r="H25" i="3"/>
  <c r="K25" i="3" s="1"/>
  <c r="G25" i="3"/>
  <c r="F25" i="3"/>
  <c r="J24" i="3"/>
  <c r="G24" i="3"/>
  <c r="F24" i="3"/>
  <c r="H24" i="3" s="1"/>
  <c r="K24" i="3" s="1"/>
  <c r="G23" i="3"/>
  <c r="F23" i="3"/>
  <c r="H23" i="3" s="1"/>
  <c r="K23" i="3" s="1"/>
  <c r="J22" i="3"/>
  <c r="H22" i="3"/>
  <c r="K22" i="3" s="1"/>
  <c r="G22" i="3"/>
  <c r="F22" i="3"/>
  <c r="J21" i="3"/>
  <c r="G21" i="3"/>
  <c r="F21" i="3"/>
  <c r="J20" i="3"/>
  <c r="G20" i="3"/>
  <c r="F20" i="3"/>
  <c r="H20" i="3" s="1"/>
  <c r="K20" i="3" s="1"/>
  <c r="J19" i="3"/>
  <c r="G19" i="3"/>
  <c r="F19" i="3"/>
  <c r="H19" i="3" s="1"/>
  <c r="J18" i="3"/>
  <c r="G18" i="3"/>
  <c r="K18" i="3" s="1"/>
  <c r="J14" i="3"/>
  <c r="G14" i="3"/>
  <c r="F14" i="3"/>
  <c r="H14" i="3" s="1"/>
  <c r="K14" i="3" s="1"/>
  <c r="J13" i="3"/>
  <c r="G13" i="3"/>
  <c r="F13" i="3"/>
  <c r="H13" i="3" s="1"/>
  <c r="K13" i="3" s="1"/>
  <c r="J12" i="3"/>
  <c r="G12" i="3"/>
  <c r="H12" i="3" s="1"/>
  <c r="K12" i="3" s="1"/>
  <c r="F12" i="3"/>
  <c r="J11" i="3"/>
  <c r="G11" i="3"/>
  <c r="F11" i="3"/>
  <c r="H11" i="3" s="1"/>
  <c r="K11" i="3" s="1"/>
  <c r="J10" i="3"/>
  <c r="G10" i="3"/>
  <c r="H10" i="3" s="1"/>
  <c r="K10" i="3" s="1"/>
  <c r="F10" i="3"/>
  <c r="J9" i="3"/>
  <c r="G9" i="3"/>
  <c r="F9" i="3"/>
  <c r="H9" i="3" s="1"/>
  <c r="K9" i="3" s="1"/>
  <c r="J8" i="3"/>
  <c r="H8" i="3"/>
  <c r="K8" i="3" s="1"/>
  <c r="G8" i="3"/>
  <c r="F8" i="3"/>
  <c r="J7" i="3"/>
  <c r="G7" i="3"/>
  <c r="F7" i="3"/>
  <c r="H7" i="3" s="1"/>
  <c r="K7" i="3" s="1"/>
  <c r="J6" i="3"/>
  <c r="G6" i="3"/>
  <c r="F6" i="3"/>
  <c r="H6" i="3" s="1"/>
  <c r="K6" i="3" s="1"/>
  <c r="J5" i="3"/>
  <c r="G5" i="3"/>
  <c r="F5" i="3"/>
  <c r="H5" i="3" s="1"/>
  <c r="K5" i="3" s="1"/>
  <c r="G52" i="2"/>
  <c r="G48" i="2"/>
  <c r="G47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O7" i="3" l="1"/>
  <c r="N7" i="3"/>
  <c r="O6" i="3"/>
  <c r="N6" i="3"/>
  <c r="M10" i="3"/>
  <c r="M11" i="3" s="1"/>
  <c r="G51" i="2"/>
  <c r="G55" i="2" s="1"/>
  <c r="G53" i="2"/>
  <c r="G58" i="2" l="1"/>
  <c r="G57" i="2"/>
</calcChain>
</file>

<file path=xl/sharedStrings.xml><?xml version="1.0" encoding="utf-8"?>
<sst xmlns="http://schemas.openxmlformats.org/spreadsheetml/2006/main" count="133" uniqueCount="52">
  <si>
    <t>Target angle (°)</t>
  </si>
  <si>
    <t>Trial</t>
  </si>
  <si>
    <t>Direction</t>
  </si>
  <si>
    <t>Block</t>
  </si>
  <si>
    <t>Original trial</t>
  </si>
  <si>
    <t>Left encoder (°)</t>
  </si>
  <si>
    <t>Right encoder (°)</t>
  </si>
  <si>
    <t>Measured angle (°)</t>
  </si>
  <si>
    <t>Absolute error |e_i| (°)</t>
  </si>
  <si>
    <t>left</t>
  </si>
  <si>
    <t>right</t>
  </si>
  <si>
    <t>Fout &lt;</t>
  </si>
  <si>
    <t>H0:</t>
  </si>
  <si>
    <t>Wat we willen bewijzen:</t>
  </si>
  <si>
    <t>μ |e_i|</t>
  </si>
  <si>
    <r>
      <rPr>
        <b/>
        <sz val="11"/>
        <rFont val="Aptos Narrow"/>
        <family val="2"/>
      </rPr>
      <t>σ</t>
    </r>
    <r>
      <rPr>
        <b/>
        <sz val="11"/>
        <rFont val="Arial"/>
        <family val="2"/>
      </rPr>
      <t xml:space="preserve"> |e_i|</t>
    </r>
  </si>
  <si>
    <t>e_i0 (threshold)</t>
  </si>
  <si>
    <t>n</t>
  </si>
  <si>
    <t>alpha</t>
  </si>
  <si>
    <t>tstat</t>
  </si>
  <si>
    <t>t_critical</t>
  </si>
  <si>
    <t>reject H0?</t>
  </si>
  <si>
    <t>p-value</t>
  </si>
  <si>
    <t>Physical direction</t>
  </si>
  <si>
    <t>Left distance (mm)</t>
  </si>
  <si>
    <t>Right distance (mm)</t>
  </si>
  <si>
    <t>|dL−dR| (mm)</t>
  </si>
  <si>
    <t>Deviation from 1440° (°)</t>
  </si>
  <si>
    <t>Actual total rotation (°)</t>
  </si>
  <si>
    <t>(L_{eff}) (mm)</t>
  </si>
  <si>
    <t>Mean Leff</t>
  </si>
  <si>
    <t>Stdev Leff</t>
  </si>
  <si>
    <t>L</t>
  </si>
  <si>
    <t>R</t>
  </si>
  <si>
    <t>Combined mean</t>
  </si>
  <si>
    <t xml:space="preserve">= effective track width </t>
  </si>
  <si>
    <t>calibrated turning constant</t>
  </si>
  <si>
    <t>LeffL_{eff}Leff​ (mm)</t>
  </si>
  <si>
    <t>Real (cm)</t>
  </si>
  <si>
    <t>Sensor (cm)</t>
  </si>
  <si>
    <t>Error</t>
  </si>
  <si>
    <t>+2 cm</t>
  </si>
  <si>
    <t>15</t>
  </si>
  <si>
    <t>20</t>
  </si>
  <si>
    <t>+3 cm</t>
  </si>
  <si>
    <t>30</t>
  </si>
  <si>
    <t>0 cm</t>
  </si>
  <si>
    <t>40</t>
  </si>
  <si>
    <t>+1 cm</t>
  </si>
  <si>
    <t>50</t>
  </si>
  <si>
    <t>Ratio</t>
  </si>
  <si>
    <t>Corr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</si>
</sst>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b/>
      <sz val="14"/>
      <color rgb="FFFF0000"/>
      <name val="Arial"/>
      <family val="2"/>
    </font>
    <font>
      <b/>
      <sz val="11"/>
      <name val="Arial"/>
      <family val="2"/>
      <charset val="1"/>
    </font>
    <font>
      <b/>
      <sz val="11"/>
      <name val="Aptos Narrow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D9E1F2"/>
      </patternFill>
    </fill>
    <fill>
      <patternFill patternType="solid">
        <fgColor rgb="FF92D050"/>
        <bgColor rgb="FFD9E1F2"/>
      </patternFill>
    </fill>
    <fill>
      <patternFill patternType="solid">
        <fgColor rgb="FFFFFF00"/>
        <bgColor rgb="FFE2EFDA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2" fillId="0" borderId="0" xfId="1"/>
    <xf numFmtId="0" fontId="3" fillId="0" borderId="0" xfId="1" applyFont="1"/>
    <xf numFmtId="0" fontId="4" fillId="0" borderId="1" xfId="1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1" fontId="4" fillId="0" borderId="1" xfId="1" applyNumberFormat="1" applyFont="1" applyBorder="1" applyAlignment="1">
      <alignment horizontal="center"/>
    </xf>
    <xf numFmtId="0" fontId="3" fillId="2" borderId="1" xfId="1" applyFont="1" applyFill="1" applyBorder="1" applyAlignment="1">
      <alignment horizontal="right"/>
    </xf>
    <xf numFmtId="0" fontId="6" fillId="2" borderId="1" xfId="1" applyFont="1" applyFill="1" applyBorder="1" applyAlignment="1">
      <alignment horizontal="right"/>
    </xf>
    <xf numFmtId="0" fontId="8" fillId="3" borderId="1" xfId="1" applyFont="1" applyFill="1" applyBorder="1" applyAlignment="1">
      <alignment horizontal="center"/>
    </xf>
    <xf numFmtId="166" fontId="4" fillId="3" borderId="1" xfId="1" applyNumberFormat="1" applyFont="1" applyFill="1" applyBorder="1" applyAlignment="1">
      <alignment horizontal="center"/>
    </xf>
    <xf numFmtId="0" fontId="5" fillId="4" borderId="1" xfId="1" applyFont="1" applyFill="1" applyBorder="1"/>
    <xf numFmtId="0" fontId="2" fillId="5" borderId="1" xfId="1" applyFill="1" applyBorder="1"/>
    <xf numFmtId="0" fontId="3" fillId="5" borderId="1" xfId="1" applyFont="1" applyFill="1" applyBorder="1" applyAlignment="1">
      <alignment horizont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6" borderId="0" xfId="0" applyFill="1"/>
    <xf numFmtId="0" fontId="0" fillId="0" borderId="0" xfId="0" quotePrefix="1"/>
    <xf numFmtId="0" fontId="0" fillId="0" borderId="0" xfId="0" applyAlignment="1">
      <alignment vertical="center" wrapText="1"/>
    </xf>
  </cellXfs>
  <cellStyles count="2">
    <cellStyle name="Normal" xfId="0" builtinId="0"/>
    <cellStyle name="Normal 2" xfId="1" xr:uid="{ADEC846B-A705-4A01-A69F-721B9A9806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7790-6738-47CF-ADE6-872B6BC07D68}">
  <dimension ref="A1:I21"/>
  <sheetViews>
    <sheetView workbookViewId="0">
      <selection activeCell="H10" sqref="H10"/>
    </sheetView>
  </sheetViews>
  <sheetFormatPr defaultRowHeight="14.4" x14ac:dyDescent="0.3"/>
  <sheetData>
    <row r="1" spans="1:9" ht="57.6" x14ac:dyDescent="0.3">
      <c r="A1" s="16" t="s">
        <v>1</v>
      </c>
      <c r="B1" s="16" t="s">
        <v>5</v>
      </c>
      <c r="C1" s="16" t="s">
        <v>6</v>
      </c>
      <c r="D1" s="16" t="s">
        <v>24</v>
      </c>
      <c r="E1" s="16" t="s">
        <v>25</v>
      </c>
      <c r="F1" s="16" t="s">
        <v>26</v>
      </c>
      <c r="G1" s="16" t="s">
        <v>27</v>
      </c>
      <c r="H1" s="16" t="s">
        <v>28</v>
      </c>
      <c r="I1" s="16" t="s">
        <v>37</v>
      </c>
    </row>
    <row r="2" spans="1:9" x14ac:dyDescent="0.3">
      <c r="A2" s="21">
        <v>1</v>
      </c>
      <c r="B2" s="21">
        <v>3460</v>
      </c>
      <c r="C2" s="21">
        <v>-3735</v>
      </c>
      <c r="D2" s="21">
        <v>1449.32</v>
      </c>
      <c r="E2" s="21">
        <v>-1564.51</v>
      </c>
      <c r="F2" s="21">
        <v>3013.83</v>
      </c>
      <c r="G2" s="21">
        <v>-67</v>
      </c>
      <c r="H2" s="21">
        <v>1373</v>
      </c>
      <c r="I2" s="21">
        <v>125.77</v>
      </c>
    </row>
    <row r="3" spans="1:9" x14ac:dyDescent="0.3">
      <c r="A3" s="21">
        <v>2</v>
      </c>
      <c r="B3" s="21">
        <v>3552</v>
      </c>
      <c r="C3" s="21">
        <v>-3649</v>
      </c>
      <c r="D3" s="21">
        <v>1487.86</v>
      </c>
      <c r="E3" s="21">
        <v>-1528.49</v>
      </c>
      <c r="F3" s="21">
        <v>3016.35</v>
      </c>
      <c r="G3" s="21">
        <v>-49</v>
      </c>
      <c r="H3" s="21">
        <v>1391</v>
      </c>
      <c r="I3" s="21">
        <v>124.24</v>
      </c>
    </row>
    <row r="4" spans="1:9" x14ac:dyDescent="0.3">
      <c r="A4" s="21">
        <v>3</v>
      </c>
      <c r="B4" s="21">
        <v>3498</v>
      </c>
      <c r="C4" s="21">
        <v>-3698</v>
      </c>
      <c r="D4" s="21">
        <v>1465.24</v>
      </c>
      <c r="E4" s="21">
        <v>-1549.01</v>
      </c>
      <c r="F4" s="21">
        <v>3014.25</v>
      </c>
      <c r="G4" s="21">
        <v>-48</v>
      </c>
      <c r="H4" s="21">
        <v>1392</v>
      </c>
      <c r="I4" s="21">
        <v>124.07</v>
      </c>
    </row>
    <row r="5" spans="1:9" x14ac:dyDescent="0.3">
      <c r="A5" s="21">
        <v>4</v>
      </c>
      <c r="B5" s="21">
        <v>3507</v>
      </c>
      <c r="C5" s="21">
        <v>-3682</v>
      </c>
      <c r="D5" s="21">
        <v>1469.01</v>
      </c>
      <c r="E5" s="21">
        <v>-1542.31</v>
      </c>
      <c r="F5" s="21">
        <v>3011.32</v>
      </c>
      <c r="G5" s="21">
        <v>-49</v>
      </c>
      <c r="H5" s="21">
        <v>1391</v>
      </c>
      <c r="I5" s="21">
        <v>124.04</v>
      </c>
    </row>
    <row r="6" spans="1:9" x14ac:dyDescent="0.3">
      <c r="A6" s="21">
        <v>5</v>
      </c>
      <c r="B6" s="21">
        <v>3487</v>
      </c>
      <c r="C6" s="21">
        <v>-3718</v>
      </c>
      <c r="D6" s="21">
        <v>1460.63</v>
      </c>
      <c r="E6" s="21">
        <v>-1557.39</v>
      </c>
      <c r="F6" s="21">
        <v>3018.02</v>
      </c>
      <c r="G6" s="21">
        <v>-48</v>
      </c>
      <c r="H6" s="21">
        <v>1392</v>
      </c>
      <c r="I6" s="21">
        <v>124.22</v>
      </c>
    </row>
    <row r="7" spans="1:9" x14ac:dyDescent="0.3">
      <c r="A7" s="21">
        <v>6</v>
      </c>
      <c r="B7" s="21">
        <v>3578</v>
      </c>
      <c r="C7" s="21">
        <v>-3634</v>
      </c>
      <c r="D7" s="21">
        <v>1498.75</v>
      </c>
      <c r="E7" s="21">
        <v>-1522.21</v>
      </c>
      <c r="F7" s="21">
        <v>3020.96</v>
      </c>
      <c r="G7" s="21">
        <v>-51</v>
      </c>
      <c r="H7" s="21">
        <v>1389</v>
      </c>
      <c r="I7" s="21">
        <v>124.61</v>
      </c>
    </row>
    <row r="8" spans="1:9" x14ac:dyDescent="0.3">
      <c r="A8" s="21">
        <v>7</v>
      </c>
      <c r="B8" s="21">
        <v>3604</v>
      </c>
      <c r="C8" s="21">
        <v>-3604</v>
      </c>
      <c r="D8" s="21">
        <v>1509.64</v>
      </c>
      <c r="E8" s="21">
        <v>-1509.64</v>
      </c>
      <c r="F8" s="21">
        <v>3019.28</v>
      </c>
      <c r="G8" s="21">
        <v>-54</v>
      </c>
      <c r="H8" s="21">
        <v>1386</v>
      </c>
      <c r="I8" s="21">
        <v>124.81</v>
      </c>
    </row>
    <row r="9" spans="1:9" x14ac:dyDescent="0.3">
      <c r="A9" s="21">
        <v>8</v>
      </c>
      <c r="B9" s="21">
        <v>3536</v>
      </c>
      <c r="C9" s="21">
        <v>-3672</v>
      </c>
      <c r="D9" s="21">
        <v>1481.16</v>
      </c>
      <c r="E9" s="21">
        <v>-1538.12</v>
      </c>
      <c r="F9" s="21">
        <v>3019.28</v>
      </c>
      <c r="G9" s="21">
        <v>-54</v>
      </c>
      <c r="H9" s="21">
        <v>1386</v>
      </c>
      <c r="I9" s="21">
        <v>124.81</v>
      </c>
    </row>
    <row r="10" spans="1:9" x14ac:dyDescent="0.3">
      <c r="A10" s="21">
        <v>9</v>
      </c>
      <c r="B10" s="21">
        <v>3548</v>
      </c>
      <c r="C10" s="21">
        <v>-3659</v>
      </c>
      <c r="D10" s="21">
        <v>1486.18</v>
      </c>
      <c r="E10" s="21">
        <v>-1532.68</v>
      </c>
      <c r="F10" s="21">
        <v>3018.86</v>
      </c>
      <c r="G10" s="21">
        <v>-56</v>
      </c>
      <c r="H10" s="21">
        <v>1384</v>
      </c>
      <c r="I10" s="21">
        <v>124.98</v>
      </c>
    </row>
    <row r="11" spans="1:9" x14ac:dyDescent="0.3">
      <c r="A11" s="21">
        <v>10</v>
      </c>
      <c r="B11" s="21">
        <v>3475</v>
      </c>
      <c r="C11" s="21">
        <v>-3732</v>
      </c>
      <c r="D11" s="21">
        <v>1455.6</v>
      </c>
      <c r="E11" s="21">
        <v>-1563.26</v>
      </c>
      <c r="F11" s="21">
        <v>3018.86</v>
      </c>
      <c r="G11" s="21">
        <v>-31</v>
      </c>
      <c r="H11" s="21">
        <v>1409</v>
      </c>
      <c r="I11" s="21">
        <v>122.76</v>
      </c>
    </row>
    <row r="12" spans="1:9" x14ac:dyDescent="0.3">
      <c r="A12" s="21">
        <v>11</v>
      </c>
      <c r="B12" s="21">
        <v>3515</v>
      </c>
      <c r="C12" s="21">
        <v>-3684</v>
      </c>
      <c r="D12" s="21">
        <v>1472.36</v>
      </c>
      <c r="E12" s="21">
        <v>-1543.15</v>
      </c>
      <c r="F12" s="21">
        <v>3015.51</v>
      </c>
      <c r="G12" s="21">
        <v>-47</v>
      </c>
      <c r="H12" s="21">
        <v>1393</v>
      </c>
      <c r="I12" s="21">
        <v>124.03</v>
      </c>
    </row>
    <row r="13" spans="1:9" x14ac:dyDescent="0.3">
      <c r="A13" s="21">
        <v>12</v>
      </c>
      <c r="B13" s="21">
        <v>3525</v>
      </c>
      <c r="C13" s="21">
        <v>-3694</v>
      </c>
      <c r="D13" s="21">
        <v>1476.55</v>
      </c>
      <c r="E13" s="21">
        <v>-1547.34</v>
      </c>
      <c r="F13" s="21">
        <v>3023.89</v>
      </c>
      <c r="G13" s="21">
        <v>-34</v>
      </c>
      <c r="H13" s="21">
        <v>1406</v>
      </c>
      <c r="I13" s="21">
        <v>123.23</v>
      </c>
    </row>
    <row r="14" spans="1:9" x14ac:dyDescent="0.3">
      <c r="A14" s="21">
        <v>13</v>
      </c>
      <c r="B14" s="21">
        <v>3468</v>
      </c>
      <c r="C14" s="21">
        <v>-3721</v>
      </c>
      <c r="D14" s="21">
        <v>1452.67</v>
      </c>
      <c r="E14" s="21">
        <v>-1558.65</v>
      </c>
      <c r="F14" s="21">
        <v>3011.32</v>
      </c>
      <c r="G14" s="21">
        <v>-46</v>
      </c>
      <c r="H14" s="21">
        <v>1394</v>
      </c>
      <c r="I14" s="21">
        <v>123.77</v>
      </c>
    </row>
    <row r="15" spans="1:9" x14ac:dyDescent="0.3">
      <c r="A15" s="21">
        <v>14</v>
      </c>
      <c r="B15" s="21">
        <v>3600</v>
      </c>
      <c r="C15" s="21">
        <v>-3596</v>
      </c>
      <c r="D15" s="21">
        <v>1507.96</v>
      </c>
      <c r="E15" s="21">
        <v>-1506.29</v>
      </c>
      <c r="F15" s="21">
        <v>3014.25</v>
      </c>
      <c r="G15" s="21">
        <v>-31</v>
      </c>
      <c r="H15" s="21">
        <v>1409</v>
      </c>
      <c r="I15" s="21">
        <v>122.57</v>
      </c>
    </row>
    <row r="16" spans="1:9" x14ac:dyDescent="0.3">
      <c r="A16" s="21">
        <v>15</v>
      </c>
      <c r="B16" s="21">
        <v>3607</v>
      </c>
      <c r="C16" s="21">
        <v>-3585</v>
      </c>
      <c r="D16" s="21">
        <v>1510.9</v>
      </c>
      <c r="E16" s="21">
        <v>-1501.68</v>
      </c>
      <c r="F16" s="21">
        <v>3012.58</v>
      </c>
      <c r="G16" s="21">
        <v>-31</v>
      </c>
      <c r="H16" s="21">
        <v>1409</v>
      </c>
      <c r="I16" s="21">
        <v>122.5</v>
      </c>
    </row>
    <row r="17" spans="1:9" x14ac:dyDescent="0.3">
      <c r="A17" s="21">
        <v>16</v>
      </c>
      <c r="B17" s="21">
        <v>3551</v>
      </c>
      <c r="C17" s="21">
        <v>-3648</v>
      </c>
      <c r="D17" s="21">
        <v>1487.44</v>
      </c>
      <c r="E17" s="21">
        <v>-1527.65</v>
      </c>
      <c r="F17" s="21">
        <v>3015.09</v>
      </c>
      <c r="G17" s="21">
        <v>-27</v>
      </c>
      <c r="H17" s="21">
        <v>1413</v>
      </c>
      <c r="I17" s="21">
        <v>122.26</v>
      </c>
    </row>
    <row r="18" spans="1:9" x14ac:dyDescent="0.3">
      <c r="A18" s="21">
        <v>17</v>
      </c>
      <c r="B18" s="21">
        <v>3537</v>
      </c>
      <c r="C18" s="21">
        <v>-3674</v>
      </c>
      <c r="D18" s="21">
        <v>1481.58</v>
      </c>
      <c r="E18" s="21">
        <v>-1538.54</v>
      </c>
      <c r="F18" s="21">
        <v>3020.12</v>
      </c>
      <c r="G18" s="21">
        <v>-26</v>
      </c>
      <c r="H18" s="21">
        <v>1414</v>
      </c>
      <c r="I18" s="21">
        <v>122.38</v>
      </c>
    </row>
    <row r="19" spans="1:9" x14ac:dyDescent="0.3">
      <c r="A19" s="21">
        <v>18</v>
      </c>
      <c r="B19" s="21">
        <v>3584</v>
      </c>
      <c r="C19" s="21">
        <v>-3621</v>
      </c>
      <c r="D19" s="21">
        <v>1501.26</v>
      </c>
      <c r="E19" s="21">
        <v>-1516.34</v>
      </c>
      <c r="F19" s="21">
        <v>3017.6</v>
      </c>
      <c r="G19" s="21">
        <v>-23</v>
      </c>
      <c r="H19" s="21">
        <v>1417</v>
      </c>
      <c r="I19" s="21">
        <v>122.02</v>
      </c>
    </row>
    <row r="20" spans="1:9" x14ac:dyDescent="0.3">
      <c r="A20" s="21">
        <v>19</v>
      </c>
      <c r="B20" s="21">
        <v>3546</v>
      </c>
      <c r="C20" s="21">
        <v>-3659</v>
      </c>
      <c r="D20" s="21">
        <v>1485.35</v>
      </c>
      <c r="E20" s="21">
        <v>-1532.26</v>
      </c>
      <c r="F20" s="21">
        <v>3017.6</v>
      </c>
      <c r="G20" s="21">
        <v>-26</v>
      </c>
      <c r="H20" s="21">
        <v>1414</v>
      </c>
      <c r="I20" s="21">
        <v>122.27</v>
      </c>
    </row>
    <row r="21" spans="1:9" x14ac:dyDescent="0.3">
      <c r="A21" s="21">
        <v>20</v>
      </c>
      <c r="B21" s="21">
        <v>3640</v>
      </c>
      <c r="C21" s="21">
        <v>-3564</v>
      </c>
      <c r="D21" s="21">
        <v>1524.72</v>
      </c>
      <c r="E21" s="21">
        <v>-1493.72</v>
      </c>
      <c r="F21" s="21">
        <v>3018.44</v>
      </c>
      <c r="G21" s="21">
        <v>-15</v>
      </c>
      <c r="H21" s="21">
        <v>1425</v>
      </c>
      <c r="I21" s="21">
        <v>121.36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DA9D-3879-485A-B6C6-DF54C5C49EC3}">
  <dimension ref="B4:O27"/>
  <sheetViews>
    <sheetView topLeftCell="B4" workbookViewId="0">
      <selection activeCell="G22" sqref="G22"/>
    </sheetView>
  </sheetViews>
  <sheetFormatPr defaultRowHeight="14.4" x14ac:dyDescent="0.3"/>
  <cols>
    <col min="6" max="6" width="9.33203125" customWidth="1"/>
    <col min="7" max="7" width="7.77734375" customWidth="1"/>
    <col min="8" max="8" width="9.6640625" customWidth="1"/>
    <col min="11" max="11" width="9.44140625" customWidth="1"/>
  </cols>
  <sheetData>
    <row r="4" spans="2:15" ht="57.6" x14ac:dyDescent="0.3">
      <c r="B4" s="15" t="s">
        <v>1</v>
      </c>
      <c r="C4" s="16" t="s">
        <v>23</v>
      </c>
      <c r="D4" s="15" t="s">
        <v>5</v>
      </c>
      <c r="E4" s="15" t="s">
        <v>6</v>
      </c>
      <c r="F4" s="15" t="s">
        <v>24</v>
      </c>
      <c r="G4" s="15" t="s">
        <v>25</v>
      </c>
      <c r="H4" s="15" t="s">
        <v>26</v>
      </c>
      <c r="I4" s="15" t="s">
        <v>27</v>
      </c>
      <c r="J4" s="15" t="s">
        <v>28</v>
      </c>
      <c r="K4" s="15" t="s">
        <v>29</v>
      </c>
    </row>
    <row r="5" spans="2:15" x14ac:dyDescent="0.3">
      <c r="B5" s="17">
        <v>1</v>
      </c>
      <c r="C5" s="18" t="s">
        <v>9</v>
      </c>
      <c r="D5" s="17">
        <v>3658</v>
      </c>
      <c r="E5" s="17">
        <v>-3579</v>
      </c>
      <c r="F5" s="17">
        <f>D5/360*PI()*48</f>
        <v>1532.2594569108619</v>
      </c>
      <c r="G5" s="17">
        <f>E5/360*PI()*48</f>
        <v>-1499.1680142930493</v>
      </c>
      <c r="H5" s="17">
        <f>F5-G5</f>
        <v>3031.4274712039114</v>
      </c>
      <c r="I5" s="17">
        <v>-27</v>
      </c>
      <c r="J5" s="17">
        <f>1440+I5</f>
        <v>1413</v>
      </c>
      <c r="K5" s="17">
        <f>H5/RADIANS(ABS(J5))</f>
        <v>122.92144373673037</v>
      </c>
      <c r="N5" t="s">
        <v>30</v>
      </c>
      <c r="O5" t="s">
        <v>31</v>
      </c>
    </row>
    <row r="6" spans="2:15" x14ac:dyDescent="0.3">
      <c r="B6" s="17">
        <v>2</v>
      </c>
      <c r="C6" s="18" t="s">
        <v>9</v>
      </c>
      <c r="D6" s="17">
        <v>3647</v>
      </c>
      <c r="E6" s="17">
        <v>-3605</v>
      </c>
      <c r="F6" s="17">
        <f t="shared" ref="F6:G14" si="0">D6/360*PI()*48</f>
        <v>1527.6517876855969</v>
      </c>
      <c r="G6" s="17">
        <f t="shared" si="0"/>
        <v>-1510.0588688254941</v>
      </c>
      <c r="H6" s="17">
        <f t="shared" ref="H6:H14" si="1">F6-G6</f>
        <v>3037.7106565110907</v>
      </c>
      <c r="I6" s="17">
        <v>-22.5</v>
      </c>
      <c r="J6" s="17">
        <f t="shared" ref="J6:J14" si="2">1440+I6</f>
        <v>1417.5</v>
      </c>
      <c r="K6" s="17">
        <f t="shared" ref="K6:K14" si="3">H6/RADIANS(ABS(J6))</f>
        <v>122.78518518518518</v>
      </c>
      <c r="M6" t="s">
        <v>32</v>
      </c>
      <c r="N6">
        <f>AVERAGE(K5:K14)</f>
        <v>122.6448674459574</v>
      </c>
      <c r="O6">
        <f>_xlfn.STDEV.S(K5:K14)</f>
        <v>0.44134514734972724</v>
      </c>
    </row>
    <row r="7" spans="2:15" x14ac:dyDescent="0.3">
      <c r="B7" s="17">
        <v>3</v>
      </c>
      <c r="C7" s="18" t="s">
        <v>9</v>
      </c>
      <c r="D7" s="17">
        <v>3650</v>
      </c>
      <c r="E7" s="17">
        <v>-3593</v>
      </c>
      <c r="F7" s="17">
        <f t="shared" si="0"/>
        <v>1528.9084247470328</v>
      </c>
      <c r="G7" s="17">
        <f t="shared" si="0"/>
        <v>-1505.0323205797504</v>
      </c>
      <c r="H7" s="17">
        <f t="shared" si="1"/>
        <v>3033.9407453267831</v>
      </c>
      <c r="I7" s="17">
        <v>-20</v>
      </c>
      <c r="J7" s="17">
        <f t="shared" si="2"/>
        <v>1420</v>
      </c>
      <c r="K7" s="17">
        <f t="shared" si="3"/>
        <v>122.41690140845071</v>
      </c>
      <c r="M7" t="s">
        <v>33</v>
      </c>
      <c r="N7">
        <f>AVERAGE(K18:K27)</f>
        <v>122.12022260579211</v>
      </c>
      <c r="O7">
        <f>_xlfn.STDEV.S(K18:K27)</f>
        <v>0.45792469418428305</v>
      </c>
    </row>
    <row r="8" spans="2:15" x14ac:dyDescent="0.3">
      <c r="B8" s="17">
        <v>4</v>
      </c>
      <c r="C8" s="18" t="s">
        <v>9</v>
      </c>
      <c r="D8" s="17">
        <v>3555</v>
      </c>
      <c r="E8" s="17">
        <v>-3678</v>
      </c>
      <c r="F8" s="17">
        <f t="shared" si="0"/>
        <v>1489.1149178015621</v>
      </c>
      <c r="G8" s="17">
        <f t="shared" si="0"/>
        <v>-1540.6370373204347</v>
      </c>
      <c r="H8" s="17">
        <f t="shared" si="1"/>
        <v>3029.7519551219966</v>
      </c>
      <c r="I8" s="17">
        <v>-20</v>
      </c>
      <c r="J8" s="17">
        <f t="shared" si="2"/>
        <v>1420</v>
      </c>
      <c r="K8" s="17">
        <f t="shared" si="3"/>
        <v>122.24788732394367</v>
      </c>
    </row>
    <row r="9" spans="2:15" x14ac:dyDescent="0.3">
      <c r="B9" s="17">
        <v>5</v>
      </c>
      <c r="C9" s="18" t="s">
        <v>9</v>
      </c>
      <c r="D9" s="17">
        <v>3613</v>
      </c>
      <c r="E9" s="17">
        <v>-3626</v>
      </c>
      <c r="F9" s="17">
        <f t="shared" si="0"/>
        <v>1513.409900989323</v>
      </c>
      <c r="G9" s="17">
        <f t="shared" si="0"/>
        <v>-1518.8553282555454</v>
      </c>
      <c r="H9" s="17">
        <f t="shared" si="1"/>
        <v>3032.2652292448684</v>
      </c>
      <c r="I9" s="17">
        <v>-20</v>
      </c>
      <c r="J9" s="17">
        <f t="shared" si="2"/>
        <v>1420</v>
      </c>
      <c r="K9" s="17">
        <f t="shared" si="3"/>
        <v>122.34929577464789</v>
      </c>
      <c r="M9" t="s">
        <v>34</v>
      </c>
    </row>
    <row r="10" spans="2:15" x14ac:dyDescent="0.3">
      <c r="B10" s="17">
        <v>6</v>
      </c>
      <c r="C10" s="18" t="s">
        <v>9</v>
      </c>
      <c r="D10" s="17">
        <v>3503</v>
      </c>
      <c r="E10" s="17">
        <v>-3717</v>
      </c>
      <c r="F10" s="17">
        <f t="shared" si="0"/>
        <v>1467.3332087366728</v>
      </c>
      <c r="G10" s="17">
        <f t="shared" si="0"/>
        <v>-1556.9733191191012</v>
      </c>
      <c r="H10" s="17">
        <f t="shared" si="1"/>
        <v>3024.3065278557742</v>
      </c>
      <c r="I10" s="17">
        <v>-37</v>
      </c>
      <c r="J10" s="17">
        <f t="shared" si="2"/>
        <v>1403</v>
      </c>
      <c r="K10" s="17">
        <f t="shared" si="3"/>
        <v>123.50677120456164</v>
      </c>
      <c r="M10" s="19">
        <f>AVERAGE(K5:K14,K18:K27)</f>
        <v>122.38254502587475</v>
      </c>
      <c r="N10" s="20" t="s">
        <v>35</v>
      </c>
    </row>
    <row r="11" spans="2:15" x14ac:dyDescent="0.3">
      <c r="B11" s="17">
        <v>7</v>
      </c>
      <c r="C11" s="18" t="s">
        <v>9</v>
      </c>
      <c r="D11" s="17">
        <v>3575</v>
      </c>
      <c r="E11" s="17">
        <v>-3658</v>
      </c>
      <c r="F11" s="17">
        <f t="shared" si="0"/>
        <v>1497.4924982111347</v>
      </c>
      <c r="G11" s="17">
        <f t="shared" si="0"/>
        <v>-1532.2594569108619</v>
      </c>
      <c r="H11" s="17">
        <f t="shared" si="1"/>
        <v>3029.7519551219966</v>
      </c>
      <c r="I11" s="17">
        <v>-27</v>
      </c>
      <c r="J11" s="17">
        <f t="shared" si="2"/>
        <v>1413</v>
      </c>
      <c r="K11" s="17">
        <f t="shared" si="3"/>
        <v>122.85350318471338</v>
      </c>
      <c r="M11">
        <f>M10/48</f>
        <v>2.5496363547057239</v>
      </c>
      <c r="N11" t="s">
        <v>36</v>
      </c>
    </row>
    <row r="12" spans="2:15" x14ac:dyDescent="0.3">
      <c r="B12" s="17">
        <v>8</v>
      </c>
      <c r="C12" s="18" t="s">
        <v>9</v>
      </c>
      <c r="D12" s="17">
        <v>3589</v>
      </c>
      <c r="E12" s="17">
        <v>-3653</v>
      </c>
      <c r="F12" s="17">
        <f t="shared" si="0"/>
        <v>1503.3568044978356</v>
      </c>
      <c r="G12" s="17">
        <f t="shared" si="0"/>
        <v>-1530.1650618084686</v>
      </c>
      <c r="H12" s="17">
        <f t="shared" si="1"/>
        <v>3033.5218663063042</v>
      </c>
      <c r="I12" s="17">
        <v>-22.5</v>
      </c>
      <c r="J12" s="17">
        <f t="shared" si="2"/>
        <v>1417.5</v>
      </c>
      <c r="K12" s="17">
        <f t="shared" si="3"/>
        <v>122.61587301587301</v>
      </c>
    </row>
    <row r="13" spans="2:15" x14ac:dyDescent="0.3">
      <c r="B13" s="17">
        <v>9</v>
      </c>
      <c r="C13" s="18" t="s">
        <v>9</v>
      </c>
      <c r="D13" s="17">
        <v>3534</v>
      </c>
      <c r="E13" s="17">
        <v>-3693</v>
      </c>
      <c r="F13" s="17">
        <f t="shared" si="0"/>
        <v>1480.3184583715106</v>
      </c>
      <c r="G13" s="17">
        <f t="shared" si="0"/>
        <v>-1546.9202226276143</v>
      </c>
      <c r="H13" s="17">
        <f t="shared" si="1"/>
        <v>3027.2386809991249</v>
      </c>
      <c r="I13" s="17">
        <v>-28</v>
      </c>
      <c r="J13" s="17">
        <f t="shared" si="2"/>
        <v>1412</v>
      </c>
      <c r="K13" s="17">
        <f t="shared" si="3"/>
        <v>122.83852691218131</v>
      </c>
    </row>
    <row r="14" spans="2:15" x14ac:dyDescent="0.3">
      <c r="B14" s="17">
        <v>10</v>
      </c>
      <c r="C14" s="18" t="s">
        <v>9</v>
      </c>
      <c r="D14" s="17">
        <v>3581</v>
      </c>
      <c r="E14" s="17">
        <v>-3683</v>
      </c>
      <c r="F14" s="17">
        <f t="shared" si="0"/>
        <v>1500.0057723340067</v>
      </c>
      <c r="G14" s="17">
        <f t="shared" si="0"/>
        <v>-1542.7314324228278</v>
      </c>
      <c r="H14" s="17">
        <f t="shared" si="1"/>
        <v>3042.7372047568342</v>
      </c>
      <c r="I14" s="17">
        <v>-10</v>
      </c>
      <c r="J14" s="17">
        <f t="shared" si="2"/>
        <v>1430</v>
      </c>
      <c r="K14" s="17">
        <f t="shared" si="3"/>
        <v>121.91328671328671</v>
      </c>
    </row>
    <row r="17" spans="2:11" ht="57.6" x14ac:dyDescent="0.3">
      <c r="B17" s="15" t="s">
        <v>1</v>
      </c>
      <c r="C17" s="16" t="s">
        <v>23</v>
      </c>
      <c r="D17" s="15" t="s">
        <v>5</v>
      </c>
      <c r="E17" s="15" t="s">
        <v>6</v>
      </c>
      <c r="F17" s="15" t="s">
        <v>24</v>
      </c>
      <c r="G17" s="15" t="s">
        <v>25</v>
      </c>
      <c r="H17" s="15" t="s">
        <v>26</v>
      </c>
      <c r="I17" s="15" t="s">
        <v>27</v>
      </c>
      <c r="J17" s="15" t="s">
        <v>28</v>
      </c>
      <c r="K17" s="15" t="s">
        <v>29</v>
      </c>
    </row>
    <row r="18" spans="2:11" x14ac:dyDescent="0.3">
      <c r="B18" s="17">
        <v>1</v>
      </c>
      <c r="C18" s="18" t="s">
        <v>10</v>
      </c>
      <c r="D18" s="17">
        <v>-3888</v>
      </c>
      <c r="E18" s="17">
        <v>3350</v>
      </c>
      <c r="F18" s="17">
        <f>D18/360*PI()*48</f>
        <v>-1628.6016316209489</v>
      </c>
      <c r="G18" s="17">
        <f>E18/360*PI()*48</f>
        <v>1403.244718603441</v>
      </c>
      <c r="H18" s="17">
        <f>ABS(F18-G18)</f>
        <v>3031.8463502243899</v>
      </c>
      <c r="I18" s="17">
        <v>-17</v>
      </c>
      <c r="J18" s="17">
        <f>1440+I18</f>
        <v>1423</v>
      </c>
      <c r="K18" s="17">
        <f>H18/RADIANS(ABS(J18))</f>
        <v>122.07449051300071</v>
      </c>
    </row>
    <row r="19" spans="2:11" x14ac:dyDescent="0.3">
      <c r="B19" s="17">
        <v>2</v>
      </c>
      <c r="C19" s="18" t="s">
        <v>10</v>
      </c>
      <c r="D19" s="17">
        <v>-3895</v>
      </c>
      <c r="E19" s="17">
        <v>3337</v>
      </c>
      <c r="F19" s="17">
        <f t="shared" ref="F19:G27" si="4">D19/360*PI()*48</f>
        <v>-1631.5337847642993</v>
      </c>
      <c r="G19" s="17">
        <f t="shared" si="4"/>
        <v>1397.7992913372186</v>
      </c>
      <c r="H19" s="17">
        <f t="shared" ref="H19:H27" si="5">ABS(F19-G19)</f>
        <v>3029.3330761015177</v>
      </c>
      <c r="I19" s="17">
        <v>-18</v>
      </c>
      <c r="J19" s="17">
        <f t="shared" ref="J19:J27" si="6">1440+I19</f>
        <v>1422</v>
      </c>
      <c r="K19" s="17">
        <f>H19/RADIANS(ABS(J19))</f>
        <v>122.05907172995779</v>
      </c>
    </row>
    <row r="20" spans="2:11" x14ac:dyDescent="0.3">
      <c r="B20" s="17">
        <v>3</v>
      </c>
      <c r="C20" s="18" t="s">
        <v>10</v>
      </c>
      <c r="D20" s="17">
        <v>-3921</v>
      </c>
      <c r="E20" s="17">
        <v>3292</v>
      </c>
      <c r="F20" s="17">
        <f t="shared" si="4"/>
        <v>-1642.4246392967441</v>
      </c>
      <c r="G20" s="17">
        <f t="shared" si="4"/>
        <v>1378.9497354156797</v>
      </c>
      <c r="H20" s="17">
        <f t="shared" si="5"/>
        <v>3021.3743747124236</v>
      </c>
      <c r="I20" s="17">
        <v>-25</v>
      </c>
      <c r="J20" s="17">
        <f t="shared" si="6"/>
        <v>1415</v>
      </c>
      <c r="K20" s="17">
        <f t="shared" ref="K19:K27" si="7">H20/RADIANS(ABS(J20))</f>
        <v>122.34063604240281</v>
      </c>
    </row>
    <row r="21" spans="2:11" x14ac:dyDescent="0.3">
      <c r="B21" s="17">
        <v>4</v>
      </c>
      <c r="C21" s="18" t="s">
        <v>10</v>
      </c>
      <c r="D21" s="17">
        <v>-3920</v>
      </c>
      <c r="E21" s="17">
        <v>3300</v>
      </c>
      <c r="F21" s="17">
        <f t="shared" si="4"/>
        <v>-1642.0057602762654</v>
      </c>
      <c r="G21" s="17">
        <f t="shared" si="4"/>
        <v>1382.3007675795088</v>
      </c>
      <c r="H21" s="17">
        <f>ABS(F21-G21)</f>
        <v>3024.3065278557742</v>
      </c>
      <c r="I21" s="17">
        <v>-26</v>
      </c>
      <c r="J21" s="17">
        <f t="shared" si="6"/>
        <v>1414</v>
      </c>
      <c r="K21" s="17">
        <f>H21/RADIANS(ABS(J21))</f>
        <v>122.54596888260255</v>
      </c>
    </row>
    <row r="22" spans="2:11" x14ac:dyDescent="0.3">
      <c r="B22" s="17">
        <v>5</v>
      </c>
      <c r="C22" s="18" t="s">
        <v>10</v>
      </c>
      <c r="D22" s="17">
        <v>-3902</v>
      </c>
      <c r="E22" s="17">
        <v>3330</v>
      </c>
      <c r="F22" s="17">
        <f t="shared" si="4"/>
        <v>-1634.4659379076495</v>
      </c>
      <c r="G22" s="17">
        <f t="shared" si="4"/>
        <v>1394.8671381938682</v>
      </c>
      <c r="H22" s="17">
        <f t="shared" si="5"/>
        <v>3029.3330761015177</v>
      </c>
      <c r="I22" s="17">
        <v>-19</v>
      </c>
      <c r="J22" s="17">
        <f t="shared" si="6"/>
        <v>1421</v>
      </c>
      <c r="K22" s="17">
        <f t="shared" si="7"/>
        <v>122.14496833216045</v>
      </c>
    </row>
    <row r="23" spans="2:11" x14ac:dyDescent="0.3">
      <c r="B23" s="17">
        <v>6</v>
      </c>
      <c r="C23" s="18" t="s">
        <v>10</v>
      </c>
      <c r="D23" s="17">
        <v>-3870</v>
      </c>
      <c r="E23" s="17">
        <v>3366</v>
      </c>
      <c r="F23" s="17">
        <f t="shared" si="4"/>
        <v>-1621.0618092523332</v>
      </c>
      <c r="G23" s="17">
        <f t="shared" si="4"/>
        <v>1409.9467829310991</v>
      </c>
      <c r="H23" s="17">
        <f t="shared" si="5"/>
        <v>3031.0085921834325</v>
      </c>
      <c r="I23" s="17">
        <v>-10</v>
      </c>
      <c r="J23" s="17">
        <f>1440+I23</f>
        <v>1430</v>
      </c>
      <c r="K23" s="17">
        <f t="shared" si="7"/>
        <v>121.44335664335665</v>
      </c>
    </row>
    <row r="24" spans="2:11" x14ac:dyDescent="0.3">
      <c r="B24" s="17">
        <v>7</v>
      </c>
      <c r="C24" s="18" t="s">
        <v>10</v>
      </c>
      <c r="D24" s="17">
        <v>-3907</v>
      </c>
      <c r="E24" s="17">
        <v>3307</v>
      </c>
      <c r="F24" s="17">
        <f t="shared" si="4"/>
        <v>-1636.560333010043</v>
      </c>
      <c r="G24" s="17">
        <f t="shared" si="4"/>
        <v>1385.2329207228595</v>
      </c>
      <c r="H24" s="17">
        <f t="shared" si="5"/>
        <v>3021.7932537329025</v>
      </c>
      <c r="I24" s="17">
        <v>-21</v>
      </c>
      <c r="J24" s="17">
        <f t="shared" si="6"/>
        <v>1419</v>
      </c>
      <c r="K24" s="17">
        <f t="shared" si="7"/>
        <v>122.01268498942918</v>
      </c>
    </row>
    <row r="25" spans="2:11" x14ac:dyDescent="0.3">
      <c r="B25" s="17">
        <v>8</v>
      </c>
      <c r="C25" s="18" t="s">
        <v>10</v>
      </c>
      <c r="D25" s="17">
        <v>-3898</v>
      </c>
      <c r="E25" s="17">
        <v>3346</v>
      </c>
      <c r="F25" s="17">
        <f t="shared" si="4"/>
        <v>-1632.7904218257349</v>
      </c>
      <c r="G25" s="17">
        <f t="shared" si="4"/>
        <v>1401.5692025215262</v>
      </c>
      <c r="H25" s="17">
        <f t="shared" si="5"/>
        <v>3034.3596243472612</v>
      </c>
      <c r="I25" s="17">
        <v>-7</v>
      </c>
      <c r="J25" s="17">
        <f t="shared" si="6"/>
        <v>1433</v>
      </c>
      <c r="K25" s="17">
        <f t="shared" si="7"/>
        <v>121.32309839497556</v>
      </c>
    </row>
    <row r="26" spans="2:11" x14ac:dyDescent="0.3">
      <c r="B26" s="17">
        <v>9</v>
      </c>
      <c r="C26" s="18" t="s">
        <v>10</v>
      </c>
      <c r="D26" s="17">
        <v>-3877</v>
      </c>
      <c r="E26" s="17">
        <v>3360</v>
      </c>
      <c r="F26" s="17">
        <f t="shared" si="4"/>
        <v>-1623.9939623956839</v>
      </c>
      <c r="G26" s="17">
        <f t="shared" si="4"/>
        <v>1407.4335088082275</v>
      </c>
      <c r="H26" s="17">
        <f t="shared" si="5"/>
        <v>3031.4274712039114</v>
      </c>
      <c r="I26" s="17">
        <v>-25</v>
      </c>
      <c r="J26" s="17">
        <f t="shared" si="6"/>
        <v>1415</v>
      </c>
      <c r="K26" s="17">
        <f t="shared" si="7"/>
        <v>122.74770318021201</v>
      </c>
    </row>
    <row r="27" spans="2:11" x14ac:dyDescent="0.3">
      <c r="B27" s="17">
        <v>10</v>
      </c>
      <c r="C27" s="18" t="s">
        <v>10</v>
      </c>
      <c r="D27" s="17">
        <v>-3890</v>
      </c>
      <c r="E27" s="17">
        <v>3333</v>
      </c>
      <c r="F27" s="17">
        <f t="shared" si="4"/>
        <v>-1629.4393896619063</v>
      </c>
      <c r="G27" s="17">
        <f t="shared" si="4"/>
        <v>1396.1237752553038</v>
      </c>
      <c r="H27" s="17">
        <f t="shared" si="5"/>
        <v>3025.5631649172101</v>
      </c>
      <c r="I27" s="17">
        <v>-25</v>
      </c>
      <c r="J27" s="17">
        <f t="shared" si="6"/>
        <v>1415</v>
      </c>
      <c r="K27" s="17">
        <f t="shared" si="7"/>
        <v>122.51024734982332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B5CA-8E40-4396-A852-DEB836633DED}">
  <dimension ref="A1:H58"/>
  <sheetViews>
    <sheetView topLeftCell="A42" zoomScaleNormal="100" workbookViewId="0">
      <selection activeCell="G56" sqref="G56"/>
    </sheetView>
  </sheetViews>
  <sheetFormatPr defaultColWidth="8.6640625" defaultRowHeight="14.4" x14ac:dyDescent="0.3"/>
  <cols>
    <col min="1" max="1" width="8" style="1" customWidth="1"/>
    <col min="2" max="2" width="12" style="1" customWidth="1"/>
    <col min="3" max="3" width="8" style="1" customWidth="1"/>
    <col min="4" max="4" width="14" style="1" customWidth="1"/>
    <col min="5" max="6" width="16" style="1" customWidth="1"/>
    <col min="7" max="7" width="18" style="1" customWidth="1"/>
    <col min="8" max="8" width="22" style="1" customWidth="1"/>
    <col min="9" max="16384" width="8.6640625" style="1"/>
  </cols>
  <sheetData>
    <row r="1" spans="1:8" x14ac:dyDescent="0.3">
      <c r="F1" s="2" t="s">
        <v>0</v>
      </c>
      <c r="G1" s="1">
        <v>90</v>
      </c>
    </row>
    <row r="3" spans="1:8" ht="28.2" x14ac:dyDescent="0.3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</row>
    <row r="4" spans="1:8" x14ac:dyDescent="0.3">
      <c r="A4" s="3">
        <v>1</v>
      </c>
      <c r="B4" s="3" t="s">
        <v>9</v>
      </c>
      <c r="C4" s="3">
        <v>1</v>
      </c>
      <c r="D4" s="3">
        <v>1</v>
      </c>
      <c r="E4" s="3">
        <v>241</v>
      </c>
      <c r="F4" s="3">
        <v>-221</v>
      </c>
      <c r="G4" s="3">
        <v>92</v>
      </c>
      <c r="H4" s="4">
        <f t="shared" ref="H4:H43" si="0">ABS(G4-$G$1)</f>
        <v>2</v>
      </c>
    </row>
    <row r="5" spans="1:8" x14ac:dyDescent="0.3">
      <c r="A5" s="3">
        <v>2</v>
      </c>
      <c r="B5" s="3" t="s">
        <v>9</v>
      </c>
      <c r="C5" s="3">
        <v>1</v>
      </c>
      <c r="D5" s="3">
        <v>2</v>
      </c>
      <c r="E5" s="3">
        <v>241</v>
      </c>
      <c r="F5" s="3">
        <v>-217</v>
      </c>
      <c r="G5" s="3">
        <v>87</v>
      </c>
      <c r="H5" s="4">
        <f t="shared" si="0"/>
        <v>3</v>
      </c>
    </row>
    <row r="6" spans="1:8" x14ac:dyDescent="0.3">
      <c r="A6" s="3">
        <v>3</v>
      </c>
      <c r="B6" s="3" t="s">
        <v>9</v>
      </c>
      <c r="C6" s="3">
        <v>1</v>
      </c>
      <c r="D6" s="3">
        <v>3</v>
      </c>
      <c r="E6" s="3">
        <v>232</v>
      </c>
      <c r="F6" s="3">
        <v>-226</v>
      </c>
      <c r="G6" s="3">
        <v>92</v>
      </c>
      <c r="H6" s="4">
        <f t="shared" si="0"/>
        <v>2</v>
      </c>
    </row>
    <row r="7" spans="1:8" x14ac:dyDescent="0.3">
      <c r="A7" s="3">
        <v>4</v>
      </c>
      <c r="B7" s="3" t="s">
        <v>9</v>
      </c>
      <c r="C7" s="3">
        <v>1</v>
      </c>
      <c r="D7" s="3">
        <v>4</v>
      </c>
      <c r="E7" s="3">
        <v>236</v>
      </c>
      <c r="F7" s="3">
        <v>-221</v>
      </c>
      <c r="G7" s="3">
        <v>92</v>
      </c>
      <c r="H7" s="4">
        <f t="shared" si="0"/>
        <v>2</v>
      </c>
    </row>
    <row r="8" spans="1:8" x14ac:dyDescent="0.3">
      <c r="A8" s="3">
        <v>5</v>
      </c>
      <c r="B8" s="3" t="s">
        <v>9</v>
      </c>
      <c r="C8" s="3">
        <v>1</v>
      </c>
      <c r="D8" s="3">
        <v>5</v>
      </c>
      <c r="E8" s="3">
        <v>229</v>
      </c>
      <c r="F8" s="3">
        <v>-232</v>
      </c>
      <c r="G8" s="3">
        <v>92</v>
      </c>
      <c r="H8" s="4">
        <f t="shared" si="0"/>
        <v>2</v>
      </c>
    </row>
    <row r="9" spans="1:8" x14ac:dyDescent="0.3">
      <c r="A9" s="3">
        <v>6</v>
      </c>
      <c r="B9" s="3" t="s">
        <v>9</v>
      </c>
      <c r="C9" s="3">
        <v>2</v>
      </c>
      <c r="D9" s="3">
        <v>1</v>
      </c>
      <c r="E9" s="3">
        <v>236</v>
      </c>
      <c r="F9" s="3">
        <v>-225</v>
      </c>
      <c r="G9" s="3">
        <v>91.5</v>
      </c>
      <c r="H9" s="4">
        <f t="shared" si="0"/>
        <v>1.5</v>
      </c>
    </row>
    <row r="10" spans="1:8" x14ac:dyDescent="0.3">
      <c r="A10" s="3">
        <v>7</v>
      </c>
      <c r="B10" s="3" t="s">
        <v>9</v>
      </c>
      <c r="C10" s="3">
        <v>2</v>
      </c>
      <c r="D10" s="3">
        <v>2</v>
      </c>
      <c r="E10" s="3">
        <v>238</v>
      </c>
      <c r="F10" s="3">
        <v>-224</v>
      </c>
      <c r="G10" s="3">
        <v>92</v>
      </c>
      <c r="H10" s="4">
        <f t="shared" si="0"/>
        <v>2</v>
      </c>
    </row>
    <row r="11" spans="1:8" x14ac:dyDescent="0.3">
      <c r="A11" s="3">
        <v>8</v>
      </c>
      <c r="B11" s="3" t="s">
        <v>9</v>
      </c>
      <c r="C11" s="3">
        <v>2</v>
      </c>
      <c r="D11" s="3">
        <v>3</v>
      </c>
      <c r="E11" s="3">
        <v>233</v>
      </c>
      <c r="F11" s="3">
        <v>-227</v>
      </c>
      <c r="G11" s="3">
        <v>92</v>
      </c>
      <c r="H11" s="4">
        <f t="shared" si="0"/>
        <v>2</v>
      </c>
    </row>
    <row r="12" spans="1:8" x14ac:dyDescent="0.3">
      <c r="A12" s="3">
        <v>9</v>
      </c>
      <c r="B12" s="3" t="s">
        <v>9</v>
      </c>
      <c r="C12" s="3">
        <v>2</v>
      </c>
      <c r="D12" s="3">
        <v>4</v>
      </c>
      <c r="E12" s="3">
        <v>240</v>
      </c>
      <c r="F12" s="3">
        <v>-221</v>
      </c>
      <c r="G12" s="3">
        <v>91.5</v>
      </c>
      <c r="H12" s="4">
        <f t="shared" si="0"/>
        <v>1.5</v>
      </c>
    </row>
    <row r="13" spans="1:8" x14ac:dyDescent="0.3">
      <c r="A13" s="3">
        <v>10</v>
      </c>
      <c r="B13" s="3" t="s">
        <v>9</v>
      </c>
      <c r="C13" s="3">
        <v>2</v>
      </c>
      <c r="D13" s="3">
        <v>5</v>
      </c>
      <c r="E13" s="3">
        <v>232</v>
      </c>
      <c r="F13" s="3">
        <v>-227</v>
      </c>
      <c r="G13" s="3">
        <v>92</v>
      </c>
      <c r="H13" s="4">
        <f t="shared" si="0"/>
        <v>2</v>
      </c>
    </row>
    <row r="14" spans="1:8" x14ac:dyDescent="0.3">
      <c r="A14" s="3">
        <v>11</v>
      </c>
      <c r="B14" s="3" t="s">
        <v>9</v>
      </c>
      <c r="C14" s="3">
        <v>3</v>
      </c>
      <c r="D14" s="3">
        <v>1</v>
      </c>
      <c r="E14" s="3">
        <v>238</v>
      </c>
      <c r="F14" s="3">
        <v>-223</v>
      </c>
      <c r="G14" s="3">
        <v>89</v>
      </c>
      <c r="H14" s="4">
        <f t="shared" si="0"/>
        <v>1</v>
      </c>
    </row>
    <row r="15" spans="1:8" x14ac:dyDescent="0.3">
      <c r="A15" s="3">
        <v>12</v>
      </c>
      <c r="B15" s="3" t="s">
        <v>9</v>
      </c>
      <c r="C15" s="3">
        <v>3</v>
      </c>
      <c r="D15" s="3">
        <v>2</v>
      </c>
      <c r="E15" s="3">
        <v>229</v>
      </c>
      <c r="F15" s="3">
        <v>-228</v>
      </c>
      <c r="G15" s="3">
        <v>90</v>
      </c>
      <c r="H15" s="4">
        <f t="shared" si="0"/>
        <v>0</v>
      </c>
    </row>
    <row r="16" spans="1:8" x14ac:dyDescent="0.3">
      <c r="A16" s="3">
        <v>13</v>
      </c>
      <c r="B16" s="3" t="s">
        <v>9</v>
      </c>
      <c r="C16" s="3">
        <v>3</v>
      </c>
      <c r="D16" s="3">
        <v>3</v>
      </c>
      <c r="E16" s="3">
        <v>233</v>
      </c>
      <c r="F16" s="3">
        <v>-224</v>
      </c>
      <c r="G16" s="3">
        <v>90</v>
      </c>
      <c r="H16" s="4">
        <f t="shared" si="0"/>
        <v>0</v>
      </c>
    </row>
    <row r="17" spans="1:8" x14ac:dyDescent="0.3">
      <c r="A17" s="3">
        <v>14</v>
      </c>
      <c r="B17" s="3" t="s">
        <v>9</v>
      </c>
      <c r="C17" s="3">
        <v>3</v>
      </c>
      <c r="D17" s="3">
        <v>4</v>
      </c>
      <c r="E17" s="3">
        <v>228</v>
      </c>
      <c r="F17" s="3">
        <v>-230</v>
      </c>
      <c r="G17" s="3">
        <v>90</v>
      </c>
      <c r="H17" s="4">
        <f t="shared" si="0"/>
        <v>0</v>
      </c>
    </row>
    <row r="18" spans="1:8" x14ac:dyDescent="0.3">
      <c r="A18" s="3">
        <v>15</v>
      </c>
      <c r="B18" s="3" t="s">
        <v>9</v>
      </c>
      <c r="C18" s="3">
        <v>3</v>
      </c>
      <c r="D18" s="3">
        <v>5</v>
      </c>
      <c r="E18" s="3">
        <v>231</v>
      </c>
      <c r="F18" s="3">
        <v>-225</v>
      </c>
      <c r="G18" s="3">
        <v>90</v>
      </c>
      <c r="H18" s="4">
        <f t="shared" si="0"/>
        <v>0</v>
      </c>
    </row>
    <row r="19" spans="1:8" x14ac:dyDescent="0.3">
      <c r="A19" s="3">
        <v>16</v>
      </c>
      <c r="B19" s="3" t="s">
        <v>9</v>
      </c>
      <c r="C19" s="3">
        <v>4</v>
      </c>
      <c r="D19" s="3">
        <v>1</v>
      </c>
      <c r="E19" s="3">
        <v>235</v>
      </c>
      <c r="F19" s="3">
        <v>-226</v>
      </c>
      <c r="G19" s="3">
        <v>89</v>
      </c>
      <c r="H19" s="4">
        <f t="shared" si="0"/>
        <v>1</v>
      </c>
    </row>
    <row r="20" spans="1:8" x14ac:dyDescent="0.3">
      <c r="A20" s="3">
        <v>17</v>
      </c>
      <c r="B20" s="3" t="s">
        <v>9</v>
      </c>
      <c r="C20" s="3">
        <v>4</v>
      </c>
      <c r="D20" s="3">
        <v>2</v>
      </c>
      <c r="E20" s="3">
        <v>231</v>
      </c>
      <c r="F20" s="3">
        <v>-232</v>
      </c>
      <c r="G20" s="3">
        <v>90</v>
      </c>
      <c r="H20" s="4">
        <f t="shared" si="0"/>
        <v>0</v>
      </c>
    </row>
    <row r="21" spans="1:8" x14ac:dyDescent="0.3">
      <c r="A21" s="3">
        <v>18</v>
      </c>
      <c r="B21" s="3" t="s">
        <v>9</v>
      </c>
      <c r="C21" s="3">
        <v>4</v>
      </c>
      <c r="D21" s="3">
        <v>3</v>
      </c>
      <c r="E21" s="3">
        <v>233</v>
      </c>
      <c r="F21" s="3">
        <v>-223</v>
      </c>
      <c r="G21" s="3">
        <v>91</v>
      </c>
      <c r="H21" s="4">
        <f t="shared" si="0"/>
        <v>1</v>
      </c>
    </row>
    <row r="22" spans="1:8" x14ac:dyDescent="0.3">
      <c r="A22" s="3">
        <v>19</v>
      </c>
      <c r="B22" s="3" t="s">
        <v>9</v>
      </c>
      <c r="C22" s="3">
        <v>4</v>
      </c>
      <c r="D22" s="3">
        <v>4</v>
      </c>
      <c r="E22" s="3">
        <v>231</v>
      </c>
      <c r="F22" s="3">
        <v>-227</v>
      </c>
      <c r="G22" s="3">
        <v>91</v>
      </c>
      <c r="H22" s="4">
        <f t="shared" si="0"/>
        <v>1</v>
      </c>
    </row>
    <row r="23" spans="1:8" x14ac:dyDescent="0.3">
      <c r="A23" s="3">
        <v>20</v>
      </c>
      <c r="B23" s="3" t="s">
        <v>9</v>
      </c>
      <c r="C23" s="3">
        <v>4</v>
      </c>
      <c r="D23" s="3">
        <v>5</v>
      </c>
      <c r="E23" s="3">
        <v>225</v>
      </c>
      <c r="F23" s="3">
        <v>-234</v>
      </c>
      <c r="G23" s="3">
        <v>91</v>
      </c>
      <c r="H23" s="4">
        <f t="shared" si="0"/>
        <v>1</v>
      </c>
    </row>
    <row r="24" spans="1:8" x14ac:dyDescent="0.3">
      <c r="A24" s="3">
        <v>21</v>
      </c>
      <c r="B24" s="3" t="s">
        <v>10</v>
      </c>
      <c r="C24" s="3">
        <v>1</v>
      </c>
      <c r="D24" s="3">
        <v>1</v>
      </c>
      <c r="E24" s="3">
        <v>-254</v>
      </c>
      <c r="F24" s="3">
        <v>203</v>
      </c>
      <c r="G24" s="3">
        <v>88</v>
      </c>
      <c r="H24" s="4">
        <f t="shared" si="0"/>
        <v>2</v>
      </c>
    </row>
    <row r="25" spans="1:8" x14ac:dyDescent="0.3">
      <c r="A25" s="3">
        <v>22</v>
      </c>
      <c r="B25" s="3" t="s">
        <v>10</v>
      </c>
      <c r="C25" s="3">
        <v>1</v>
      </c>
      <c r="D25" s="3">
        <v>2</v>
      </c>
      <c r="E25" s="3">
        <v>-250</v>
      </c>
      <c r="F25" s="3">
        <v>212</v>
      </c>
      <c r="G25" s="3">
        <v>91</v>
      </c>
      <c r="H25" s="4">
        <f t="shared" si="0"/>
        <v>1</v>
      </c>
    </row>
    <row r="26" spans="1:8" x14ac:dyDescent="0.3">
      <c r="A26" s="3">
        <v>23</v>
      </c>
      <c r="B26" s="3" t="s">
        <v>10</v>
      </c>
      <c r="C26" s="3">
        <v>1</v>
      </c>
      <c r="D26" s="3">
        <v>3</v>
      </c>
      <c r="E26" s="3">
        <v>-256</v>
      </c>
      <c r="F26" s="3">
        <v>205</v>
      </c>
      <c r="G26" s="3">
        <v>90</v>
      </c>
      <c r="H26" s="4">
        <f t="shared" si="0"/>
        <v>0</v>
      </c>
    </row>
    <row r="27" spans="1:8" x14ac:dyDescent="0.3">
      <c r="A27" s="3">
        <v>24</v>
      </c>
      <c r="B27" s="3" t="s">
        <v>10</v>
      </c>
      <c r="C27" s="3">
        <v>1</v>
      </c>
      <c r="D27" s="3">
        <v>4</v>
      </c>
      <c r="E27" s="3">
        <v>-252</v>
      </c>
      <c r="F27" s="3">
        <v>205</v>
      </c>
      <c r="G27" s="3">
        <v>90</v>
      </c>
      <c r="H27" s="4">
        <f t="shared" si="0"/>
        <v>0</v>
      </c>
    </row>
    <row r="28" spans="1:8" x14ac:dyDescent="0.3">
      <c r="A28" s="3">
        <v>25</v>
      </c>
      <c r="B28" s="3" t="s">
        <v>10</v>
      </c>
      <c r="C28" s="3">
        <v>1</v>
      </c>
      <c r="D28" s="3">
        <v>5</v>
      </c>
      <c r="E28" s="3">
        <v>-250</v>
      </c>
      <c r="F28" s="3">
        <v>209</v>
      </c>
      <c r="G28" s="3">
        <v>91</v>
      </c>
      <c r="H28" s="4">
        <f t="shared" si="0"/>
        <v>1</v>
      </c>
    </row>
    <row r="29" spans="1:8" x14ac:dyDescent="0.3">
      <c r="A29" s="3">
        <v>26</v>
      </c>
      <c r="B29" s="3" t="s">
        <v>10</v>
      </c>
      <c r="C29" s="3">
        <v>2</v>
      </c>
      <c r="D29" s="3">
        <v>1</v>
      </c>
      <c r="E29" s="3">
        <v>-242</v>
      </c>
      <c r="F29" s="3">
        <v>215</v>
      </c>
      <c r="G29" s="3">
        <v>90</v>
      </c>
      <c r="H29" s="4">
        <f t="shared" si="0"/>
        <v>0</v>
      </c>
    </row>
    <row r="30" spans="1:8" x14ac:dyDescent="0.3">
      <c r="A30" s="3">
        <v>27</v>
      </c>
      <c r="B30" s="3" t="s">
        <v>10</v>
      </c>
      <c r="C30" s="3">
        <v>2</v>
      </c>
      <c r="D30" s="3">
        <v>2</v>
      </c>
      <c r="E30" s="3">
        <v>-249</v>
      </c>
      <c r="F30" s="3">
        <v>210</v>
      </c>
      <c r="G30" s="3">
        <v>90</v>
      </c>
      <c r="H30" s="4">
        <f t="shared" si="0"/>
        <v>0</v>
      </c>
    </row>
    <row r="31" spans="1:8" x14ac:dyDescent="0.3">
      <c r="A31" s="3">
        <v>28</v>
      </c>
      <c r="B31" s="3" t="s">
        <v>10</v>
      </c>
      <c r="C31" s="3">
        <v>2</v>
      </c>
      <c r="D31" s="3">
        <v>3</v>
      </c>
      <c r="E31" s="3">
        <v>-253</v>
      </c>
      <c r="F31" s="3">
        <v>208</v>
      </c>
      <c r="G31" s="3">
        <v>90</v>
      </c>
      <c r="H31" s="4">
        <f t="shared" si="0"/>
        <v>0</v>
      </c>
    </row>
    <row r="32" spans="1:8" x14ac:dyDescent="0.3">
      <c r="A32" s="3">
        <v>29</v>
      </c>
      <c r="B32" s="3" t="s">
        <v>10</v>
      </c>
      <c r="C32" s="3">
        <v>2</v>
      </c>
      <c r="D32" s="3">
        <v>4</v>
      </c>
      <c r="E32" s="3">
        <v>-247</v>
      </c>
      <c r="F32" s="3">
        <v>213</v>
      </c>
      <c r="G32" s="3">
        <v>92</v>
      </c>
      <c r="H32" s="4">
        <f t="shared" si="0"/>
        <v>2</v>
      </c>
    </row>
    <row r="33" spans="1:8" x14ac:dyDescent="0.3">
      <c r="A33" s="3">
        <v>30</v>
      </c>
      <c r="B33" s="3" t="s">
        <v>10</v>
      </c>
      <c r="C33" s="3">
        <v>2</v>
      </c>
      <c r="D33" s="3">
        <v>5</v>
      </c>
      <c r="E33" s="3">
        <v>-253</v>
      </c>
      <c r="F33" s="3">
        <v>207</v>
      </c>
      <c r="G33" s="3">
        <v>90</v>
      </c>
      <c r="H33" s="4">
        <f t="shared" si="0"/>
        <v>0</v>
      </c>
    </row>
    <row r="34" spans="1:8" x14ac:dyDescent="0.3">
      <c r="A34" s="3">
        <v>31</v>
      </c>
      <c r="B34" s="3" t="s">
        <v>10</v>
      </c>
      <c r="C34" s="3">
        <v>3</v>
      </c>
      <c r="D34" s="3">
        <v>1</v>
      </c>
      <c r="E34" s="3">
        <v>-241</v>
      </c>
      <c r="F34" s="3">
        <v>213</v>
      </c>
      <c r="G34" s="3">
        <v>89</v>
      </c>
      <c r="H34" s="4">
        <f t="shared" si="0"/>
        <v>1</v>
      </c>
    </row>
    <row r="35" spans="1:8" x14ac:dyDescent="0.3">
      <c r="A35" s="3">
        <v>32</v>
      </c>
      <c r="B35" s="3" t="s">
        <v>10</v>
      </c>
      <c r="C35" s="3">
        <v>3</v>
      </c>
      <c r="D35" s="3">
        <v>2</v>
      </c>
      <c r="E35" s="3">
        <v>-262</v>
      </c>
      <c r="F35" s="3">
        <v>196</v>
      </c>
      <c r="G35" s="3">
        <v>92</v>
      </c>
      <c r="H35" s="4">
        <f t="shared" si="0"/>
        <v>2</v>
      </c>
    </row>
    <row r="36" spans="1:8" x14ac:dyDescent="0.3">
      <c r="A36" s="3">
        <v>33</v>
      </c>
      <c r="B36" s="3" t="s">
        <v>10</v>
      </c>
      <c r="C36" s="3">
        <v>3</v>
      </c>
      <c r="D36" s="3">
        <v>3</v>
      </c>
      <c r="E36" s="3">
        <v>-242</v>
      </c>
      <c r="F36" s="3">
        <v>219</v>
      </c>
      <c r="G36" s="3">
        <v>92</v>
      </c>
      <c r="H36" s="4">
        <f t="shared" si="0"/>
        <v>2</v>
      </c>
    </row>
    <row r="37" spans="1:8" x14ac:dyDescent="0.3">
      <c r="A37" s="3">
        <v>34</v>
      </c>
      <c r="B37" s="3" t="s">
        <v>10</v>
      </c>
      <c r="C37" s="3">
        <v>3</v>
      </c>
      <c r="D37" s="3">
        <v>4</v>
      </c>
      <c r="E37" s="3">
        <v>-249</v>
      </c>
      <c r="F37" s="3">
        <v>213</v>
      </c>
      <c r="G37" s="3">
        <v>91</v>
      </c>
      <c r="H37" s="4">
        <f t="shared" si="0"/>
        <v>1</v>
      </c>
    </row>
    <row r="38" spans="1:8" x14ac:dyDescent="0.3">
      <c r="A38" s="3">
        <v>35</v>
      </c>
      <c r="B38" s="3" t="s">
        <v>10</v>
      </c>
      <c r="C38" s="3">
        <v>3</v>
      </c>
      <c r="D38" s="3">
        <v>5</v>
      </c>
      <c r="E38" s="3">
        <v>-245</v>
      </c>
      <c r="F38" s="3">
        <v>213</v>
      </c>
      <c r="G38" s="3">
        <v>91</v>
      </c>
      <c r="H38" s="4">
        <f t="shared" si="0"/>
        <v>1</v>
      </c>
    </row>
    <row r="39" spans="1:8" x14ac:dyDescent="0.3">
      <c r="A39" s="3">
        <v>36</v>
      </c>
      <c r="B39" s="3" t="s">
        <v>10</v>
      </c>
      <c r="C39" s="3">
        <v>4</v>
      </c>
      <c r="D39" s="3">
        <v>1</v>
      </c>
      <c r="E39" s="3">
        <v>-249</v>
      </c>
      <c r="F39" s="3">
        <v>217</v>
      </c>
      <c r="G39" s="3">
        <v>93</v>
      </c>
      <c r="H39" s="4">
        <f t="shared" si="0"/>
        <v>3</v>
      </c>
    </row>
    <row r="40" spans="1:8" x14ac:dyDescent="0.3">
      <c r="A40" s="3">
        <v>37</v>
      </c>
      <c r="B40" s="3" t="s">
        <v>10</v>
      </c>
      <c r="C40" s="3">
        <v>4</v>
      </c>
      <c r="D40" s="3">
        <v>2</v>
      </c>
      <c r="E40" s="3">
        <v>-245</v>
      </c>
      <c r="F40" s="3">
        <v>209</v>
      </c>
      <c r="G40" s="3">
        <v>90</v>
      </c>
      <c r="H40" s="4">
        <f t="shared" si="0"/>
        <v>0</v>
      </c>
    </row>
    <row r="41" spans="1:8" x14ac:dyDescent="0.3">
      <c r="A41" s="3">
        <v>38</v>
      </c>
      <c r="B41" s="3" t="s">
        <v>10</v>
      </c>
      <c r="C41" s="3">
        <v>4</v>
      </c>
      <c r="D41" s="3">
        <v>3</v>
      </c>
      <c r="E41" s="3">
        <v>-251</v>
      </c>
      <c r="F41" s="3">
        <v>208</v>
      </c>
      <c r="G41" s="3">
        <v>89</v>
      </c>
      <c r="H41" s="4">
        <f t="shared" si="0"/>
        <v>1</v>
      </c>
    </row>
    <row r="42" spans="1:8" x14ac:dyDescent="0.3">
      <c r="A42" s="3">
        <v>39</v>
      </c>
      <c r="B42" s="3" t="s">
        <v>10</v>
      </c>
      <c r="C42" s="3">
        <v>4</v>
      </c>
      <c r="D42" s="3">
        <v>4</v>
      </c>
      <c r="E42" s="3">
        <v>-243</v>
      </c>
      <c r="F42" s="3">
        <v>218</v>
      </c>
      <c r="G42" s="3">
        <v>91</v>
      </c>
      <c r="H42" s="4">
        <f t="shared" si="0"/>
        <v>1</v>
      </c>
    </row>
    <row r="43" spans="1:8" x14ac:dyDescent="0.3">
      <c r="A43" s="3">
        <v>40</v>
      </c>
      <c r="B43" s="3" t="s">
        <v>10</v>
      </c>
      <c r="C43" s="3">
        <v>4</v>
      </c>
      <c r="D43" s="3">
        <v>5</v>
      </c>
      <c r="E43" s="3">
        <v>-253</v>
      </c>
      <c r="F43" s="3">
        <v>205</v>
      </c>
      <c r="G43" s="3">
        <v>89</v>
      </c>
      <c r="H43" s="4">
        <f t="shared" si="0"/>
        <v>1</v>
      </c>
    </row>
    <row r="45" spans="1:8" ht="17.399999999999999" x14ac:dyDescent="0.3">
      <c r="E45" s="2"/>
      <c r="G45" s="1" t="s">
        <v>11</v>
      </c>
      <c r="H45" s="12">
        <v>1.4</v>
      </c>
    </row>
    <row r="47" spans="1:8" x14ac:dyDescent="0.3">
      <c r="F47" s="2" t="s">
        <v>12</v>
      </c>
      <c r="G47" s="13" t="str">
        <f>_xlfn.CONCAT("μ |e_i| &gt;= ",H45,"°")</f>
        <v>μ |e_i| &gt;= 1,4°</v>
      </c>
    </row>
    <row r="48" spans="1:8" x14ac:dyDescent="0.3">
      <c r="F48" s="2" t="s">
        <v>13</v>
      </c>
      <c r="G48" s="13" t="str">
        <f>_xlfn.CONCAT("Ha: μ |e_i| &lt; ",H45,"°")</f>
        <v>Ha: μ |e_i| &lt; 1,4°</v>
      </c>
    </row>
    <row r="50" spans="6:7" x14ac:dyDescent="0.3">
      <c r="F50" s="8" t="s">
        <v>14</v>
      </c>
      <c r="G50" s="5">
        <f>AVERAGE(H4:H43)</f>
        <v>1.1000000000000001</v>
      </c>
    </row>
    <row r="51" spans="6:7" x14ac:dyDescent="0.3">
      <c r="F51" s="9" t="s">
        <v>15</v>
      </c>
      <c r="G51" s="6">
        <f>_xlfn.STDEV.S(H4:H43)</f>
        <v>0.89299266370776953</v>
      </c>
    </row>
    <row r="52" spans="6:7" x14ac:dyDescent="0.3">
      <c r="F52" s="8" t="s">
        <v>16</v>
      </c>
      <c r="G52" s="7">
        <f>H45</f>
        <v>1.4</v>
      </c>
    </row>
    <row r="53" spans="6:7" x14ac:dyDescent="0.3">
      <c r="F53" s="8" t="s">
        <v>17</v>
      </c>
      <c r="G53" s="7">
        <f>COUNT(H4:H43)</f>
        <v>40</v>
      </c>
    </row>
    <row r="54" spans="6:7" x14ac:dyDescent="0.3">
      <c r="F54" s="8" t="s">
        <v>18</v>
      </c>
      <c r="G54" s="5">
        <v>0.05</v>
      </c>
    </row>
    <row r="55" spans="6:7" x14ac:dyDescent="0.3">
      <c r="F55" s="8" t="s">
        <v>19</v>
      </c>
      <c r="G55" s="6">
        <f>(G50-G52)/(G51/SQRT(G53))</f>
        <v>-2.124728089280179</v>
      </c>
    </row>
    <row r="56" spans="6:7" x14ac:dyDescent="0.3">
      <c r="F56" s="8" t="s">
        <v>20</v>
      </c>
      <c r="G56" s="6">
        <f>_xlfn.T.INV(G54,G53-1)</f>
        <v>-1.6848751217112248</v>
      </c>
    </row>
    <row r="57" spans="6:7" ht="15.6" x14ac:dyDescent="0.3">
      <c r="F57" s="8" t="s">
        <v>21</v>
      </c>
      <c r="G57" s="10" t="str">
        <f>IF(G55&lt;G56,"yes, Reject H0","no, H0 remains valid")</f>
        <v>yes, Reject H0</v>
      </c>
    </row>
    <row r="58" spans="6:7" x14ac:dyDescent="0.3">
      <c r="F58" s="8" t="s">
        <v>22</v>
      </c>
      <c r="G58" s="11">
        <f>_xlfn.T.DIST(G55,G53-1,TRUE())</f>
        <v>2.0000619881240946E-2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9C98-755E-4C63-8620-DEBDEF986021}">
  <dimension ref="B3:E11"/>
  <sheetViews>
    <sheetView tabSelected="1" workbookViewId="0">
      <selection activeCell="E11" sqref="E11"/>
    </sheetView>
  </sheetViews>
  <sheetFormatPr defaultRowHeight="14.4" x14ac:dyDescent="0.3"/>
  <cols>
    <col min="4" max="4" width="11.33203125" customWidth="1"/>
  </cols>
  <sheetData>
    <row r="3" spans="2:5" ht="28.8" x14ac:dyDescent="0.3">
      <c r="B3" s="16" t="s">
        <v>38</v>
      </c>
      <c r="C3" s="16" t="s">
        <v>39</v>
      </c>
      <c r="D3" s="16" t="s">
        <v>40</v>
      </c>
      <c r="E3" s="16" t="s">
        <v>50</v>
      </c>
    </row>
    <row r="4" spans="2:5" x14ac:dyDescent="0.3">
      <c r="B4" s="18">
        <v>10</v>
      </c>
      <c r="C4" s="18">
        <v>12</v>
      </c>
      <c r="D4" s="18" t="s">
        <v>41</v>
      </c>
      <c r="E4">
        <f>B4/C4</f>
        <v>0.83333333333333337</v>
      </c>
    </row>
    <row r="5" spans="2:5" x14ac:dyDescent="0.3">
      <c r="B5" s="18" t="s">
        <v>42</v>
      </c>
      <c r="C5" s="18">
        <v>17</v>
      </c>
      <c r="D5" s="18" t="s">
        <v>41</v>
      </c>
      <c r="E5">
        <f t="shared" ref="E5:E9" si="0">B5/C5</f>
        <v>0.88235294117647056</v>
      </c>
    </row>
    <row r="6" spans="2:5" x14ac:dyDescent="0.3">
      <c r="B6" s="18" t="s">
        <v>43</v>
      </c>
      <c r="C6" s="18">
        <v>23</v>
      </c>
      <c r="D6" s="18" t="s">
        <v>44</v>
      </c>
      <c r="E6">
        <f t="shared" si="0"/>
        <v>0.86956521739130432</v>
      </c>
    </row>
    <row r="7" spans="2:5" x14ac:dyDescent="0.3">
      <c r="B7" s="18" t="s">
        <v>45</v>
      </c>
      <c r="C7" s="18">
        <v>30</v>
      </c>
      <c r="D7" s="18" t="s">
        <v>46</v>
      </c>
      <c r="E7">
        <f t="shared" si="0"/>
        <v>1</v>
      </c>
    </row>
    <row r="8" spans="2:5" x14ac:dyDescent="0.3">
      <c r="B8" s="18" t="s">
        <v>47</v>
      </c>
      <c r="C8" s="18">
        <v>41</v>
      </c>
      <c r="D8" s="18" t="s">
        <v>48</v>
      </c>
      <c r="E8">
        <f t="shared" si="0"/>
        <v>0.97560975609756095</v>
      </c>
    </row>
    <row r="9" spans="2:5" x14ac:dyDescent="0.3">
      <c r="B9" s="18" t="s">
        <v>49</v>
      </c>
      <c r="C9" s="18">
        <v>50</v>
      </c>
      <c r="D9" s="18" t="s">
        <v>46</v>
      </c>
      <c r="E9">
        <f t="shared" si="0"/>
        <v>1</v>
      </c>
    </row>
    <row r="11" spans="2:5" ht="28.8" x14ac:dyDescent="0.3">
      <c r="D11" s="18" t="s">
        <v>51</v>
      </c>
      <c r="E11">
        <f>AVERAGE(E4:E9)</f>
        <v>0.92681020799977831</v>
      </c>
    </row>
  </sheetData>
  <pageMargins left="0.7" right="0.7" top="0.75" bottom="0.75" header="0.3" footer="0.3"/>
  <pageSetup orientation="portrait" r:id="rId1"/>
  <ignoredErrors>
    <ignoredError sqref="B5: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Failed 20 Left (First calib)</vt:lpstr>
      <vt:lpstr>Turning calib 1.1 (Leff)</vt:lpstr>
      <vt:lpstr>t-test gecombineerd (combined)</vt:lpstr>
      <vt:lpstr>Ultrasonic sensor calibration</vt:lpstr>
    </vt:vector>
  </TitlesOfParts>
  <Company>CDN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Vanderzwalmen Wouter</dc:creator>
  <cp:lastModifiedBy>Vanderzwalmen Wouter</cp:lastModifiedBy>
  <cp:lastPrinted>2026-05-17T20:33:31Z</cp:lastPrinted>
  <dcterms:created xsi:type="dcterms:W3CDTF">2026-04-22T18:33:18Z</dcterms:created>
  <dcterms:modified xsi:type="dcterms:W3CDTF">2026-05-18T03:02:55Z</dcterms:modified>
</cp:coreProperties>
</file>